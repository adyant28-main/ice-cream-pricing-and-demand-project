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hidePivotFieldList="1" defaultThemeVersion="202300"/>
  <mc:AlternateContent xmlns:mc="http://schemas.openxmlformats.org/markup-compatibility/2006">
    <mc:Choice Requires="x15">
      <x15ac:absPath xmlns:x15ac="http://schemas.microsoft.com/office/spreadsheetml/2010/11/ac" url="/Users/adyant/Desktop/portfolio ady/Phase 1/Ice cream seller - pricing and demand forecasting/"/>
    </mc:Choice>
  </mc:AlternateContent>
  <xr:revisionPtr revIDLastSave="0" documentId="13_ncr:1_{E3DE8598-9831-D446-B2EB-7287B7C6402F}" xr6:coauthVersionLast="47" xr6:coauthVersionMax="47" xr10:uidLastSave="{00000000-0000-0000-0000-000000000000}"/>
  <bookViews>
    <workbookView xWindow="0" yWindow="520" windowWidth="27660" windowHeight="16140" xr2:uid="{24EE3FB4-E979-AC42-88FA-468C4E075760}"/>
  </bookViews>
  <sheets>
    <sheet name="DASHBOARD" sheetId="11" r:id="rId1"/>
    <sheet name="Season Pricing Dynamics" sheetId="16" r:id="rId2"/>
    <sheet name="1) Pivot_DemandAnalysis" sheetId="6" r:id="rId3"/>
    <sheet name="2) Cost Structure" sheetId="7" r:id="rId4"/>
    <sheet name="3) Pricing_Strategy" sheetId="8" r:id="rId5"/>
    <sheet name="4)Demand Forecasting" sheetId="9" r:id="rId6"/>
    <sheet name="5) Profit Loss" sheetId="10" r:id="rId7"/>
    <sheet name="Cleaned_Data" sheetId="3" r:id="rId8"/>
    <sheet name="Raw_Data" sheetId="1" r:id="rId9"/>
    <sheet name="Competitor_Benchmark_Data" sheetId="2" r:id="rId10"/>
    <sheet name="Cleaning_Log" sheetId="4" r:id="rId11"/>
  </sheets>
  <externalReferences>
    <externalReference r:id="rId12"/>
  </externalReferences>
  <definedNames>
    <definedName name="_xlnm._FilterDatabase" localSheetId="7" hidden="1">Cleaned_Data!$A$1:$N$147</definedName>
    <definedName name="_xleta.BASE" hidden="1" xlm="1">#NAME?</definedName>
    <definedName name="_xleta.PRICE" hidden="1" xlm="1">#NAME?</definedName>
    <definedName name="_xlnm.Print_Area" localSheetId="0">DASHBOARD!$A$1:$K$31</definedName>
    <definedName name="Slicer_Flavour">#N/A</definedName>
    <definedName name="Slicer_Location">#N/A</definedName>
    <definedName name="Slicer_Season">#N/A</definedName>
    <definedName name="solver_adj" localSheetId="1" hidden="1">'Season Pricing Dynamics'!$B$2:$B$6</definedName>
    <definedName name="solver_cvg" localSheetId="1" hidden="1">0.0001</definedName>
    <definedName name="solver_drv" localSheetId="1" hidden="1">1</definedName>
    <definedName name="solver_eng" localSheetId="1" hidden="1">1</definedName>
    <definedName name="solver_itr" localSheetId="1" hidden="1">2147483647</definedName>
    <definedName name="solver_lhs1" localSheetId="1" hidden="1">'Season Pricing Dynamics'!#REF!</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1</definedName>
    <definedName name="solver_opt" localSheetId="1" hidden="1">'Season Pricing Dynamics'!#REF!</definedName>
    <definedName name="solver_pre" localSheetId="1" hidden="1">0.000001</definedName>
    <definedName name="solver_rbv" localSheetId="1" hidden="1">1</definedName>
    <definedName name="solver_rel1" localSheetId="1" hidden="1">3</definedName>
    <definedName name="solver_rhs1" localSheetId="1" hidden="1">'Season Pricing Dynamics'!$K$5:$K$9</definedName>
    <definedName name="solver_rlx" localSheetId="1" hidden="1">1</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2</definedName>
  </definedNames>
  <calcPr calcId="191029"/>
  <pivotCaches>
    <pivotCache cacheId="45" r:id="rId13"/>
    <pivotCache cacheId="46" r:id="rId14"/>
    <pivotCache cacheId="47"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6" l="1"/>
  <c r="J6" i="16" s="1"/>
  <c r="I2" i="16"/>
  <c r="J2" i="16" s="1"/>
  <c r="I3" i="16"/>
  <c r="J3" i="16" s="1"/>
  <c r="I4" i="16"/>
  <c r="J4" i="16" s="1"/>
  <c r="I5" i="16"/>
  <c r="J5" i="16" s="1"/>
  <c r="E2" i="16"/>
  <c r="E3" i="16"/>
  <c r="E4" i="16"/>
  <c r="E5" i="16"/>
  <c r="E6" i="16"/>
  <c r="D13" i="10"/>
  <c r="F13" i="10"/>
  <c r="D14" i="10"/>
  <c r="F14" i="10"/>
  <c r="D15" i="10"/>
  <c r="F15" i="10"/>
  <c r="D16" i="10"/>
  <c r="F16" i="10"/>
  <c r="D17" i="10"/>
  <c r="F17" i="10"/>
  <c r="B18" i="10"/>
  <c r="D3" i="10"/>
  <c r="F3" i="10"/>
  <c r="D4" i="10"/>
  <c r="F4" i="10"/>
  <c r="D5" i="10"/>
  <c r="F5" i="10"/>
  <c r="D6" i="10"/>
  <c r="F6" i="10"/>
  <c r="D7" i="10"/>
  <c r="F7" i="10"/>
  <c r="B8" i="10"/>
  <c r="D3" i="9"/>
  <c r="C36" i="9"/>
  <c r="D36" i="9" s="1"/>
  <c r="C37" i="9"/>
  <c r="D37" i="9" s="1"/>
  <c r="C38" i="9"/>
  <c r="D38" i="9" s="1"/>
  <c r="C39" i="9"/>
  <c r="D39" i="9" s="1"/>
  <c r="C40" i="9"/>
  <c r="D40" i="9" s="1"/>
  <c r="B41" i="9"/>
  <c r="E23" i="9"/>
  <c r="E24" i="9"/>
  <c r="E25" i="9"/>
  <c r="D16" i="9"/>
  <c r="E16" i="9"/>
  <c r="D17" i="9"/>
  <c r="E17" i="9"/>
  <c r="D18" i="9"/>
  <c r="E18" i="9"/>
  <c r="B19" i="9"/>
  <c r="C19" i="9"/>
  <c r="N19" i="3"/>
  <c r="N132" i="3"/>
  <c r="N105" i="3"/>
  <c r="N47" i="3"/>
  <c r="N70" i="3"/>
  <c r="N14" i="3"/>
  <c r="N109" i="3"/>
  <c r="N129" i="3"/>
  <c r="N85" i="3"/>
  <c r="N12" i="3"/>
  <c r="N71" i="3"/>
  <c r="N48" i="3"/>
  <c r="N133" i="3"/>
  <c r="N72" i="3"/>
  <c r="N20" i="3"/>
  <c r="N107" i="3"/>
  <c r="N73" i="3"/>
  <c r="N42" i="3"/>
  <c r="N136" i="3"/>
  <c r="N74" i="3"/>
  <c r="N15" i="3"/>
  <c r="N110" i="3"/>
  <c r="N75" i="3"/>
  <c r="N44" i="3"/>
  <c r="N130" i="3"/>
  <c r="N21" i="3"/>
  <c r="N86" i="3"/>
  <c r="N57" i="3"/>
  <c r="N8" i="3"/>
  <c r="N123" i="3"/>
  <c r="N99" i="3"/>
  <c r="N63" i="3"/>
  <c r="N2" i="3"/>
  <c r="N38" i="3"/>
  <c r="N127" i="3"/>
  <c r="N58" i="3"/>
  <c r="N3" i="3"/>
  <c r="N103" i="3"/>
  <c r="N59" i="3"/>
  <c r="N9" i="3"/>
  <c r="N40" i="3"/>
  <c r="N121" i="3"/>
  <c r="N64" i="3"/>
  <c r="N4" i="3"/>
  <c r="N100" i="3"/>
  <c r="N65" i="3"/>
  <c r="N124" i="3"/>
  <c r="N89" i="3"/>
  <c r="N32" i="3"/>
  <c r="N52" i="3"/>
  <c r="N140" i="3"/>
  <c r="N115" i="3"/>
  <c r="N90" i="3"/>
  <c r="N30" i="3"/>
  <c r="N96" i="3"/>
  <c r="N25" i="3"/>
  <c r="N143" i="3"/>
  <c r="N116" i="3"/>
  <c r="N50" i="3"/>
  <c r="N33" i="3"/>
  <c r="N144" i="3"/>
  <c r="N91" i="3"/>
  <c r="N26" i="3"/>
  <c r="N117" i="3"/>
  <c r="N53" i="3"/>
  <c r="N145" i="3"/>
  <c r="N27" i="3"/>
  <c r="N97" i="3"/>
  <c r="N113" i="3"/>
  <c r="N92" i="3"/>
  <c r="N34" i="3"/>
  <c r="N54" i="3"/>
  <c r="N141" i="3"/>
  <c r="N35" i="3"/>
  <c r="N114" i="3"/>
  <c r="N76" i="3"/>
  <c r="N137" i="3"/>
  <c r="N16" i="3"/>
  <c r="N77" i="3"/>
  <c r="N111" i="3"/>
  <c r="N78" i="3"/>
  <c r="N22" i="3"/>
  <c r="N134" i="3"/>
  <c r="N106" i="3"/>
  <c r="N79" i="3"/>
  <c r="N49" i="3"/>
  <c r="N17" i="3"/>
  <c r="N131" i="3"/>
  <c r="N87" i="3"/>
  <c r="N23" i="3"/>
  <c r="N80" i="3"/>
  <c r="N45" i="3"/>
  <c r="N138" i="3"/>
  <c r="N81" i="3"/>
  <c r="N18" i="3"/>
  <c r="N112" i="3"/>
  <c r="N82" i="3"/>
  <c r="N43" i="3"/>
  <c r="N135" i="3"/>
  <c r="N83" i="3"/>
  <c r="N24" i="3"/>
  <c r="N108" i="3"/>
  <c r="N84" i="3"/>
  <c r="N46" i="3"/>
  <c r="N139" i="3"/>
  <c r="N13" i="3"/>
  <c r="N88" i="3"/>
  <c r="N60" i="3"/>
  <c r="N10" i="3"/>
  <c r="N125" i="3"/>
  <c r="N101" i="3"/>
  <c r="N66" i="3"/>
  <c r="N5" i="3"/>
  <c r="N39" i="3"/>
  <c r="N128" i="3"/>
  <c r="N61" i="3"/>
  <c r="N6" i="3"/>
  <c r="N104" i="3"/>
  <c r="N62" i="3"/>
  <c r="N11" i="3"/>
  <c r="N41" i="3"/>
  <c r="N122" i="3"/>
  <c r="N67" i="3"/>
  <c r="N7" i="3"/>
  <c r="N102" i="3"/>
  <c r="N68" i="3"/>
  <c r="N126" i="3"/>
  <c r="N93" i="3"/>
  <c r="N36" i="3"/>
  <c r="N55" i="3"/>
  <c r="N142" i="3"/>
  <c r="N118" i="3"/>
  <c r="N94" i="3"/>
  <c r="N31" i="3"/>
  <c r="N98" i="3"/>
  <c r="N28" i="3"/>
  <c r="N146" i="3"/>
  <c r="N119" i="3"/>
  <c r="N51" i="3"/>
  <c r="N37" i="3"/>
  <c r="N147" i="3"/>
  <c r="N95" i="3"/>
  <c r="N29" i="3"/>
  <c r="N120" i="3"/>
  <c r="N56" i="3"/>
  <c r="N69" i="3"/>
  <c r="H47" i="8"/>
  <c r="I47" i="8" s="1"/>
  <c r="H48" i="8"/>
  <c r="I48" i="8" s="1"/>
  <c r="H49" i="8"/>
  <c r="I49" i="8" s="1"/>
  <c r="H50" i="8"/>
  <c r="I50" i="8" s="1"/>
  <c r="H51" i="8"/>
  <c r="I51" i="8" s="1"/>
  <c r="H52" i="8"/>
  <c r="I52" i="8" s="1"/>
  <c r="H53" i="8"/>
  <c r="I53" i="8" s="1"/>
  <c r="H54" i="8"/>
  <c r="I54" i="8" s="1"/>
  <c r="H55" i="8"/>
  <c r="I55" i="8" s="1"/>
  <c r="H56" i="8"/>
  <c r="I56" i="8" s="1"/>
  <c r="H57" i="8"/>
  <c r="I57" i="8" s="1"/>
  <c r="H58" i="8"/>
  <c r="I58" i="8" s="1"/>
  <c r="H59" i="8"/>
  <c r="I59" i="8" s="1"/>
  <c r="H60" i="8"/>
  <c r="I60" i="8" s="1"/>
  <c r="H61" i="8"/>
  <c r="I61" i="8" s="1"/>
  <c r="D7" i="8"/>
  <c r="D8" i="8"/>
  <c r="D9" i="8"/>
  <c r="D10" i="8"/>
  <c r="D6" i="8"/>
  <c r="D28" i="8"/>
  <c r="D27" i="8"/>
  <c r="D25" i="8"/>
  <c r="D26" i="8"/>
  <c r="D24" i="8"/>
  <c r="C7" i="8"/>
  <c r="C8" i="8"/>
  <c r="C9" i="8"/>
  <c r="C10" i="8"/>
  <c r="C28" i="8"/>
  <c r="C27" i="8"/>
  <c r="C26" i="8"/>
  <c r="C25" i="8"/>
  <c r="C24" i="8"/>
  <c r="C6" i="8"/>
  <c r="C16" i="8"/>
  <c r="C17" i="8"/>
  <c r="C18" i="8"/>
  <c r="C19" i="8"/>
  <c r="C15" i="8"/>
  <c r="D7" i="7"/>
  <c r="D9" i="7"/>
  <c r="D10" i="7"/>
  <c r="D6" i="7"/>
  <c r="D8" i="7"/>
  <c r="C7" i="7"/>
  <c r="C9" i="7"/>
  <c r="C10" i="7"/>
  <c r="C6" i="7"/>
  <c r="C8" i="7"/>
  <c r="L19" i="3"/>
  <c r="L132" i="3"/>
  <c r="L105" i="3"/>
  <c r="L47" i="3"/>
  <c r="L70" i="3"/>
  <c r="L14" i="3"/>
  <c r="L109" i="3"/>
  <c r="L129" i="3"/>
  <c r="L85" i="3"/>
  <c r="L12" i="3"/>
  <c r="L71" i="3"/>
  <c r="L48" i="3"/>
  <c r="L133" i="3"/>
  <c r="L72" i="3"/>
  <c r="L20" i="3"/>
  <c r="L107" i="3"/>
  <c r="L73" i="3"/>
  <c r="L42" i="3"/>
  <c r="L136" i="3"/>
  <c r="L74" i="3"/>
  <c r="L15" i="3"/>
  <c r="L110" i="3"/>
  <c r="L75" i="3"/>
  <c r="L44" i="3"/>
  <c r="L130" i="3"/>
  <c r="L21" i="3"/>
  <c r="L86" i="3"/>
  <c r="L57" i="3"/>
  <c r="L8" i="3"/>
  <c r="L123" i="3"/>
  <c r="L99" i="3"/>
  <c r="L63" i="3"/>
  <c r="L2" i="3"/>
  <c r="L38" i="3"/>
  <c r="L127" i="3"/>
  <c r="L58" i="3"/>
  <c r="L3" i="3"/>
  <c r="L103" i="3"/>
  <c r="L59" i="3"/>
  <c r="L9" i="3"/>
  <c r="L40" i="3"/>
  <c r="L121" i="3"/>
  <c r="L64" i="3"/>
  <c r="L4" i="3"/>
  <c r="L100" i="3"/>
  <c r="L65" i="3"/>
  <c r="L124" i="3"/>
  <c r="L89" i="3"/>
  <c r="L32" i="3"/>
  <c r="L52" i="3"/>
  <c r="L140" i="3"/>
  <c r="L115" i="3"/>
  <c r="L90" i="3"/>
  <c r="L30" i="3"/>
  <c r="L96" i="3"/>
  <c r="L25" i="3"/>
  <c r="L143" i="3"/>
  <c r="L116" i="3"/>
  <c r="L50" i="3"/>
  <c r="L33" i="3"/>
  <c r="L144" i="3"/>
  <c r="L91" i="3"/>
  <c r="L26" i="3"/>
  <c r="L117" i="3"/>
  <c r="L53" i="3"/>
  <c r="L145" i="3"/>
  <c r="L27" i="3"/>
  <c r="L97" i="3"/>
  <c r="L113" i="3"/>
  <c r="L92" i="3"/>
  <c r="L34" i="3"/>
  <c r="L54" i="3"/>
  <c r="L141" i="3"/>
  <c r="L35" i="3"/>
  <c r="L114" i="3"/>
  <c r="L76" i="3"/>
  <c r="L137" i="3"/>
  <c r="L16" i="3"/>
  <c r="L77" i="3"/>
  <c r="L111" i="3"/>
  <c r="L78" i="3"/>
  <c r="L22" i="3"/>
  <c r="L134" i="3"/>
  <c r="L106" i="3"/>
  <c r="L79" i="3"/>
  <c r="L49" i="3"/>
  <c r="L17" i="3"/>
  <c r="L131" i="3"/>
  <c r="L87" i="3"/>
  <c r="L23" i="3"/>
  <c r="L80" i="3"/>
  <c r="L45" i="3"/>
  <c r="L138" i="3"/>
  <c r="L81" i="3"/>
  <c r="L18" i="3"/>
  <c r="L112" i="3"/>
  <c r="L82" i="3"/>
  <c r="L43" i="3"/>
  <c r="L135" i="3"/>
  <c r="L83" i="3"/>
  <c r="L24" i="3"/>
  <c r="L108" i="3"/>
  <c r="L84" i="3"/>
  <c r="L46" i="3"/>
  <c r="L139" i="3"/>
  <c r="L13" i="3"/>
  <c r="L88" i="3"/>
  <c r="L60" i="3"/>
  <c r="L10" i="3"/>
  <c r="L125" i="3"/>
  <c r="L101" i="3"/>
  <c r="L66" i="3"/>
  <c r="L5" i="3"/>
  <c r="L39" i="3"/>
  <c r="L128" i="3"/>
  <c r="L61" i="3"/>
  <c r="L6" i="3"/>
  <c r="L104" i="3"/>
  <c r="L62" i="3"/>
  <c r="L11" i="3"/>
  <c r="L41" i="3"/>
  <c r="L122" i="3"/>
  <c r="L67" i="3"/>
  <c r="L7" i="3"/>
  <c r="L102" i="3"/>
  <c r="L68" i="3"/>
  <c r="L126" i="3"/>
  <c r="L93" i="3"/>
  <c r="L36" i="3"/>
  <c r="L55" i="3"/>
  <c r="L142" i="3"/>
  <c r="L118" i="3"/>
  <c r="L94" i="3"/>
  <c r="L31" i="3"/>
  <c r="L98" i="3"/>
  <c r="L28" i="3"/>
  <c r="L146" i="3"/>
  <c r="L119" i="3"/>
  <c r="L51" i="3"/>
  <c r="L37" i="3"/>
  <c r="L147" i="3"/>
  <c r="L95" i="3"/>
  <c r="L29" i="3"/>
  <c r="L120" i="3"/>
  <c r="L56" i="3"/>
  <c r="L69" i="3"/>
  <c r="K19" i="3"/>
  <c r="K132" i="3"/>
  <c r="K105" i="3"/>
  <c r="K47" i="3"/>
  <c r="K70" i="3"/>
  <c r="K14" i="3"/>
  <c r="K109" i="3"/>
  <c r="K129" i="3"/>
  <c r="K85" i="3"/>
  <c r="K12" i="3"/>
  <c r="K71" i="3"/>
  <c r="K48" i="3"/>
  <c r="K133" i="3"/>
  <c r="K72" i="3"/>
  <c r="K20" i="3"/>
  <c r="K107" i="3"/>
  <c r="K73" i="3"/>
  <c r="K42" i="3"/>
  <c r="K136" i="3"/>
  <c r="K74" i="3"/>
  <c r="K15" i="3"/>
  <c r="K110" i="3"/>
  <c r="K75" i="3"/>
  <c r="K44" i="3"/>
  <c r="K130" i="3"/>
  <c r="K21" i="3"/>
  <c r="K86" i="3"/>
  <c r="K57" i="3"/>
  <c r="K8" i="3"/>
  <c r="K123" i="3"/>
  <c r="K99" i="3"/>
  <c r="K63" i="3"/>
  <c r="K2" i="3"/>
  <c r="K38" i="3"/>
  <c r="K127" i="3"/>
  <c r="K58" i="3"/>
  <c r="K3" i="3"/>
  <c r="K103" i="3"/>
  <c r="K59" i="3"/>
  <c r="K9" i="3"/>
  <c r="K40" i="3"/>
  <c r="K121" i="3"/>
  <c r="K64" i="3"/>
  <c r="K4" i="3"/>
  <c r="K100" i="3"/>
  <c r="K65" i="3"/>
  <c r="K124" i="3"/>
  <c r="K89" i="3"/>
  <c r="K32" i="3"/>
  <c r="K52" i="3"/>
  <c r="K140" i="3"/>
  <c r="K115" i="3"/>
  <c r="K90" i="3"/>
  <c r="K30" i="3"/>
  <c r="K96" i="3"/>
  <c r="K25" i="3"/>
  <c r="K143" i="3"/>
  <c r="K116" i="3"/>
  <c r="K50" i="3"/>
  <c r="K33" i="3"/>
  <c r="K144" i="3"/>
  <c r="K91" i="3"/>
  <c r="K26" i="3"/>
  <c r="K117" i="3"/>
  <c r="K53" i="3"/>
  <c r="K145" i="3"/>
  <c r="K27" i="3"/>
  <c r="K97" i="3"/>
  <c r="K113" i="3"/>
  <c r="K92" i="3"/>
  <c r="K34" i="3"/>
  <c r="K54" i="3"/>
  <c r="K141" i="3"/>
  <c r="K35" i="3"/>
  <c r="K114" i="3"/>
  <c r="K76" i="3"/>
  <c r="K137" i="3"/>
  <c r="K16" i="3"/>
  <c r="K77" i="3"/>
  <c r="K111" i="3"/>
  <c r="K78" i="3"/>
  <c r="K22" i="3"/>
  <c r="K134" i="3"/>
  <c r="K106" i="3"/>
  <c r="K79" i="3"/>
  <c r="K49" i="3"/>
  <c r="K17" i="3"/>
  <c r="K131" i="3"/>
  <c r="K87" i="3"/>
  <c r="K23" i="3"/>
  <c r="K80" i="3"/>
  <c r="K45" i="3"/>
  <c r="K138" i="3"/>
  <c r="K81" i="3"/>
  <c r="K18" i="3"/>
  <c r="K112" i="3"/>
  <c r="K82" i="3"/>
  <c r="K43" i="3"/>
  <c r="K135" i="3"/>
  <c r="K83" i="3"/>
  <c r="K24" i="3"/>
  <c r="K108" i="3"/>
  <c r="K84" i="3"/>
  <c r="K46" i="3"/>
  <c r="K139" i="3"/>
  <c r="K13" i="3"/>
  <c r="K88" i="3"/>
  <c r="K60" i="3"/>
  <c r="K10" i="3"/>
  <c r="K125" i="3"/>
  <c r="K101" i="3"/>
  <c r="K66" i="3"/>
  <c r="K5" i="3"/>
  <c r="K39" i="3"/>
  <c r="K128" i="3"/>
  <c r="K61" i="3"/>
  <c r="K6" i="3"/>
  <c r="K104" i="3"/>
  <c r="K62" i="3"/>
  <c r="K11" i="3"/>
  <c r="K41" i="3"/>
  <c r="K122" i="3"/>
  <c r="K67" i="3"/>
  <c r="K7" i="3"/>
  <c r="K102" i="3"/>
  <c r="K68" i="3"/>
  <c r="K126" i="3"/>
  <c r="K93" i="3"/>
  <c r="K36" i="3"/>
  <c r="K55" i="3"/>
  <c r="K142" i="3"/>
  <c r="K118" i="3"/>
  <c r="K94" i="3"/>
  <c r="K31" i="3"/>
  <c r="K98" i="3"/>
  <c r="K28" i="3"/>
  <c r="K146" i="3"/>
  <c r="K119" i="3"/>
  <c r="K51" i="3"/>
  <c r="K37" i="3"/>
  <c r="K147" i="3"/>
  <c r="K95" i="3"/>
  <c r="K29" i="3"/>
  <c r="K120" i="3"/>
  <c r="K56" i="3"/>
  <c r="K69" i="3"/>
  <c r="M120" i="3" l="1"/>
  <c r="M28" i="3"/>
  <c r="M93" i="3"/>
  <c r="M11" i="3"/>
  <c r="M66" i="3"/>
  <c r="M46" i="3"/>
  <c r="M112" i="3"/>
  <c r="M131" i="3"/>
  <c r="M111" i="3"/>
  <c r="M54" i="3"/>
  <c r="M117" i="3"/>
  <c r="M25" i="3"/>
  <c r="M89" i="3"/>
  <c r="M9" i="3"/>
  <c r="M63" i="3"/>
  <c r="M44" i="3"/>
  <c r="E7" i="8"/>
  <c r="G16" i="10"/>
  <c r="H16" i="10" s="1"/>
  <c r="E9" i="8"/>
  <c r="E10" i="8"/>
  <c r="G7" i="10"/>
  <c r="H7" i="10" s="1"/>
  <c r="E24" i="8"/>
  <c r="G15" i="10"/>
  <c r="H15" i="10" s="1"/>
  <c r="M69" i="3"/>
  <c r="M39" i="3"/>
  <c r="M42" i="3"/>
  <c r="M119" i="3"/>
  <c r="M55" i="3"/>
  <c r="M122" i="3"/>
  <c r="M13" i="3"/>
  <c r="M43" i="3"/>
  <c r="M23" i="3"/>
  <c r="M22" i="3"/>
  <c r="M35" i="3"/>
  <c r="M145" i="3"/>
  <c r="M116" i="3"/>
  <c r="M52" i="3"/>
  <c r="M121" i="3"/>
  <c r="M38" i="3"/>
  <c r="M21" i="3"/>
  <c r="M12" i="3"/>
  <c r="M132" i="3"/>
  <c r="E28" i="8"/>
  <c r="E8" i="8"/>
  <c r="G17" i="10"/>
  <c r="H17" i="10" s="1"/>
  <c r="M107" i="3"/>
  <c r="M129" i="3"/>
  <c r="D19" i="9"/>
  <c r="E25" i="8"/>
  <c r="M98" i="3"/>
  <c r="M126" i="3"/>
  <c r="M62" i="3"/>
  <c r="M84" i="3"/>
  <c r="M18" i="3"/>
  <c r="M17" i="3"/>
  <c r="M34" i="3"/>
  <c r="M96" i="3"/>
  <c r="M59" i="3"/>
  <c r="M99" i="3"/>
  <c r="M109" i="3"/>
  <c r="E26" i="8"/>
  <c r="E27" i="8"/>
  <c r="G5" i="10"/>
  <c r="H5" i="10" s="1"/>
  <c r="C16" i="7"/>
  <c r="M29" i="3"/>
  <c r="M75" i="3"/>
  <c r="M77" i="3"/>
  <c r="M124" i="3"/>
  <c r="M37" i="3"/>
  <c r="M7" i="3"/>
  <c r="M60" i="3"/>
  <c r="M45" i="3"/>
  <c r="M76" i="3"/>
  <c r="M4" i="3"/>
  <c r="M48" i="3"/>
  <c r="M101" i="3"/>
  <c r="M26" i="3"/>
  <c r="M20" i="3"/>
  <c r="M118" i="3"/>
  <c r="M61" i="3"/>
  <c r="M83" i="3"/>
  <c r="M106" i="3"/>
  <c r="M97" i="3"/>
  <c r="M33" i="3"/>
  <c r="M115" i="3"/>
  <c r="M58" i="3"/>
  <c r="M57" i="3"/>
  <c r="M74" i="3"/>
  <c r="M47" i="3"/>
  <c r="M51" i="3"/>
  <c r="M142" i="3"/>
  <c r="M67" i="3"/>
  <c r="M128" i="3"/>
  <c r="M88" i="3"/>
  <c r="M135" i="3"/>
  <c r="M80" i="3"/>
  <c r="M134" i="3"/>
  <c r="M114" i="3"/>
  <c r="M27" i="3"/>
  <c r="M50" i="3"/>
  <c r="M140" i="3"/>
  <c r="M64" i="3"/>
  <c r="M127" i="3"/>
  <c r="M86" i="3"/>
  <c r="M136" i="3"/>
  <c r="M71" i="3"/>
  <c r="M105" i="3"/>
  <c r="M147" i="3"/>
  <c r="M94" i="3"/>
  <c r="M102" i="3"/>
  <c r="M6" i="3"/>
  <c r="M10" i="3"/>
  <c r="M24" i="3"/>
  <c r="M138" i="3"/>
  <c r="M79" i="3"/>
  <c r="M137" i="3"/>
  <c r="M113" i="3"/>
  <c r="M144" i="3"/>
  <c r="M90" i="3"/>
  <c r="M100" i="3"/>
  <c r="M3" i="3"/>
  <c r="M8" i="3"/>
  <c r="M15" i="3"/>
  <c r="M133" i="3"/>
  <c r="M70" i="3"/>
  <c r="G14" i="10"/>
  <c r="H14" i="10" s="1"/>
  <c r="E8" i="7"/>
  <c r="F8" i="7" s="1"/>
  <c r="M56" i="3"/>
  <c r="M146" i="3"/>
  <c r="M36" i="3"/>
  <c r="M41" i="3"/>
  <c r="M5" i="3"/>
  <c r="M139" i="3"/>
  <c r="M82" i="3"/>
  <c r="M87" i="3"/>
  <c r="M78" i="3"/>
  <c r="M141" i="3"/>
  <c r="M53" i="3"/>
  <c r="M143" i="3"/>
  <c r="M32" i="3"/>
  <c r="M40" i="3"/>
  <c r="M2" i="3"/>
  <c r="M130" i="3"/>
  <c r="M73" i="3"/>
  <c r="M85" i="3"/>
  <c r="M19" i="3"/>
  <c r="C15" i="7"/>
  <c r="F6" i="8"/>
  <c r="G13" i="10"/>
  <c r="H13" i="10" s="1"/>
  <c r="A6" i="11"/>
  <c r="M95" i="3"/>
  <c r="M31" i="3"/>
  <c r="M68" i="3"/>
  <c r="M104" i="3"/>
  <c r="M125" i="3"/>
  <c r="M108" i="3"/>
  <c r="M81" i="3"/>
  <c r="M49" i="3"/>
  <c r="M16" i="3"/>
  <c r="M92" i="3"/>
  <c r="M91" i="3"/>
  <c r="M30" i="3"/>
  <c r="M65" i="3"/>
  <c r="M103" i="3"/>
  <c r="M123" i="3"/>
  <c r="M110" i="3"/>
  <c r="M72" i="3"/>
  <c r="M14" i="3"/>
  <c r="E19" i="9"/>
  <c r="E7" i="16"/>
  <c r="G6" i="10"/>
  <c r="H6" i="10" s="1"/>
  <c r="G3" i="10"/>
  <c r="H3" i="10" s="1"/>
  <c r="F18" i="10"/>
  <c r="C24" i="10" s="1"/>
  <c r="F8" i="10"/>
  <c r="B24" i="10" s="1"/>
  <c r="G4" i="10"/>
  <c r="H4" i="10" s="1"/>
  <c r="D18" i="10"/>
  <c r="C23" i="10" s="1"/>
  <c r="D8" i="10"/>
  <c r="B23" i="10" s="1"/>
  <c r="C41" i="9"/>
  <c r="D41" i="9"/>
  <c r="F10" i="8"/>
  <c r="F9" i="8"/>
  <c r="F8" i="8"/>
  <c r="F7" i="8"/>
  <c r="E6" i="8"/>
  <c r="E6" i="7"/>
  <c r="F6" i="7" s="1"/>
  <c r="D11" i="7"/>
  <c r="E10" i="7"/>
  <c r="F10" i="7" s="1"/>
  <c r="E9" i="7"/>
  <c r="F9" i="7" s="1"/>
  <c r="E7" i="7"/>
  <c r="F7" i="7" s="1"/>
  <c r="C11" i="7"/>
  <c r="D6" i="11" l="1"/>
  <c r="F11" i="7"/>
  <c r="D23" i="10"/>
  <c r="E23" i="10" s="1"/>
  <c r="E11" i="7"/>
  <c r="G18" i="10"/>
  <c r="C26" i="10" s="1"/>
  <c r="C17" i="7"/>
  <c r="D24" i="10"/>
  <c r="E24" i="10" s="1"/>
  <c r="G8" i="10"/>
  <c r="C25" i="10" l="1"/>
  <c r="H18" i="10"/>
  <c r="B25" i="10"/>
  <c r="B26" i="10"/>
  <c r="D26" i="10" s="1"/>
  <c r="H8" i="10"/>
  <c r="D25" i="10"/>
  <c r="E25" i="10" s="1"/>
</calcChain>
</file>

<file path=xl/sharedStrings.xml><?xml version="1.0" encoding="utf-8"?>
<sst xmlns="http://schemas.openxmlformats.org/spreadsheetml/2006/main" count="2234" uniqueCount="179">
  <si>
    <t>Date</t>
  </si>
  <si>
    <t>Flavour</t>
  </si>
  <si>
    <t>Location</t>
  </si>
  <si>
    <t>Season</t>
  </si>
  <si>
    <t>Day_Type</t>
  </si>
  <si>
    <t>Units_Sold</t>
  </si>
  <si>
    <t>Selling_Price</t>
  </si>
  <si>
    <t>Cost_Per_Unit</t>
  </si>
  <si>
    <t>Weather</t>
  </si>
  <si>
    <t>Festive_Day</t>
  </si>
  <si>
    <t>Mango</t>
  </si>
  <si>
    <t>Summer</t>
  </si>
  <si>
    <t>Weekday</t>
  </si>
  <si>
    <t>Hot</t>
  </si>
  <si>
    <t>No</t>
  </si>
  <si>
    <t>Chocolate</t>
  </si>
  <si>
    <t>Weekend</t>
  </si>
  <si>
    <t>Vanilla</t>
  </si>
  <si>
    <t>Strawberry</t>
  </si>
  <si>
    <t>Yes</t>
  </si>
  <si>
    <t>Monsoon</t>
  </si>
  <si>
    <t>Rainy</t>
  </si>
  <si>
    <t>Cloudy</t>
  </si>
  <si>
    <t>Winter</t>
  </si>
  <si>
    <t>Cool</t>
  </si>
  <si>
    <t>Cold</t>
  </si>
  <si>
    <t>Warm</t>
  </si>
  <si>
    <t>Connaught Place</t>
  </si>
  <si>
    <t>Lajpat Nagar</t>
  </si>
  <si>
    <t>Karol Bagh</t>
  </si>
  <si>
    <t>Kesar Pista</t>
  </si>
  <si>
    <t>Very Hot</t>
  </si>
  <si>
    <t>Very Cold</t>
  </si>
  <si>
    <t>Brand</t>
  </si>
  <si>
    <t>Segment</t>
  </si>
  <si>
    <t>Amul</t>
  </si>
  <si>
    <t>Kwality Walls</t>
  </si>
  <si>
    <t>Vadilal</t>
  </si>
  <si>
    <t>Naturals</t>
  </si>
  <si>
    <t>Baskin Robbins</t>
  </si>
  <si>
    <t>The Client</t>
  </si>
  <si>
    <t/>
  </si>
  <si>
    <t>Festival Day</t>
  </si>
  <si>
    <t>Error #</t>
  </si>
  <si>
    <t>Error Type</t>
  </si>
  <si>
    <t>Column</t>
  </si>
  <si>
    <t>Fix Applied</t>
  </si>
  <si>
    <t>Wrong case</t>
  </si>
  <si>
    <t>PROPER function</t>
  </si>
  <si>
    <t>Error</t>
  </si>
  <si>
    <t>Fix</t>
  </si>
  <si>
    <t>Missing Units_Sold</t>
  </si>
  <si>
    <t>Missing Cost_Per_Unit</t>
  </si>
  <si>
    <t>Missing Weather</t>
  </si>
  <si>
    <t>Derived from Season</t>
  </si>
  <si>
    <t>Missing Season</t>
  </si>
  <si>
    <t>Derived from Date</t>
  </si>
  <si>
    <t xml:space="preserve">AVERAGEIF() </t>
  </si>
  <si>
    <t>Duplicate row</t>
  </si>
  <si>
    <t>All columns</t>
  </si>
  <si>
    <t>Remove Duplicates tool</t>
  </si>
  <si>
    <t>Wrong Data type</t>
  </si>
  <si>
    <t>Grand Total</t>
  </si>
  <si>
    <t>Sum of Units_Sold</t>
  </si>
  <si>
    <t>Revenue</t>
  </si>
  <si>
    <t>Total Cost</t>
  </si>
  <si>
    <t>Profit</t>
  </si>
  <si>
    <t>Sum of Revenue</t>
  </si>
  <si>
    <t>Total Units Sold</t>
  </si>
  <si>
    <t>Total Revenue</t>
  </si>
  <si>
    <t>Season Demand Analysis</t>
  </si>
  <si>
    <t>Demand Analysis by location</t>
  </si>
  <si>
    <t>Demand Analysis by Product</t>
  </si>
  <si>
    <t>Demand by Day Type</t>
  </si>
  <si>
    <t>Demand Matrix</t>
  </si>
  <si>
    <t>Flavour X Season</t>
  </si>
  <si>
    <t>%Share</t>
  </si>
  <si>
    <t>Flavour Cost Breakdown</t>
  </si>
  <si>
    <t>Avg Selling Price</t>
  </si>
  <si>
    <t>Avg Cost/Unit</t>
  </si>
  <si>
    <t>Gross Margin</t>
  </si>
  <si>
    <t>Margin %</t>
  </si>
  <si>
    <t xml:space="preserve">Mango </t>
  </si>
  <si>
    <t>Total Averages</t>
  </si>
  <si>
    <t>Summary Table</t>
  </si>
  <si>
    <t>Total Profit</t>
  </si>
  <si>
    <t>Metric</t>
  </si>
  <si>
    <t>Amount (Rs.)</t>
  </si>
  <si>
    <t>Client Avg Price</t>
  </si>
  <si>
    <t>Market Avg Price</t>
  </si>
  <si>
    <t>COMPETITOR BENCHMARK — Ice Cream Market Delhi</t>
  </si>
  <si>
    <t>Min Price (₹)</t>
  </si>
  <si>
    <t>Max Price (₹)</t>
  </si>
  <si>
    <t>Avg Price (₹)</t>
  </si>
  <si>
    <t>Mass Producer</t>
  </si>
  <si>
    <t>Local Budget</t>
  </si>
  <si>
    <t>Giani's</t>
  </si>
  <si>
    <t>Local Premium</t>
  </si>
  <si>
    <t>Parlour Premium</t>
  </si>
  <si>
    <t>SEGMENT LEGEND</t>
  </si>
  <si>
    <t>★ = The Client (highlighted yellow)</t>
  </si>
  <si>
    <t>Difference</t>
  </si>
  <si>
    <t>Position</t>
  </si>
  <si>
    <t>Competitor Avg Price</t>
  </si>
  <si>
    <t>Multiplier</t>
  </si>
  <si>
    <t>Demand Analysis → Pricing Rules</t>
  </si>
  <si>
    <t>Gap</t>
  </si>
  <si>
    <t>Calculation</t>
  </si>
  <si>
    <t>Position Table</t>
  </si>
  <si>
    <t>Company X</t>
  </si>
  <si>
    <t>Demand Level</t>
  </si>
  <si>
    <t>High</t>
  </si>
  <si>
    <t>Medium</t>
  </si>
  <si>
    <t>Low</t>
  </si>
  <si>
    <t>Base Price</t>
  </si>
  <si>
    <t>Dynamic Price</t>
  </si>
  <si>
    <t>Final Recommended Price</t>
  </si>
  <si>
    <t>Floor</t>
  </si>
  <si>
    <t>Ceiling</t>
  </si>
  <si>
    <t>Season Multi</t>
  </si>
  <si>
    <t>Competitor Avg</t>
  </si>
  <si>
    <t>Row Labels</t>
  </si>
  <si>
    <t>Year Column</t>
  </si>
  <si>
    <t>Year 2023</t>
  </si>
  <si>
    <t>Year 2022</t>
  </si>
  <si>
    <t>Units Sold</t>
  </si>
  <si>
    <t>2022 Units</t>
  </si>
  <si>
    <t>2023 Units</t>
  </si>
  <si>
    <t>Growth %</t>
  </si>
  <si>
    <t>2024 Forecast</t>
  </si>
  <si>
    <t>Total</t>
  </si>
  <si>
    <t>Year</t>
  </si>
  <si>
    <t>2024 (Forecast)</t>
  </si>
  <si>
    <t>2023 Actual</t>
  </si>
  <si>
    <t>Expected Growth</t>
  </si>
  <si>
    <t>Gross Profit</t>
  </si>
  <si>
    <t>Avg Price</t>
  </si>
  <si>
    <t>Cost/Unit</t>
  </si>
  <si>
    <t>Forecast Units</t>
  </si>
  <si>
    <t>Weighted Avg Price</t>
  </si>
  <si>
    <t>2024 Projected</t>
  </si>
  <si>
    <t>2023 Actual P&amp;L</t>
  </si>
  <si>
    <t>Units</t>
  </si>
  <si>
    <t>2024 Projected P&amp;L (Dynamic Pricing Applied)</t>
  </si>
  <si>
    <t>P&amp;L Comparison</t>
  </si>
  <si>
    <t>Uplift</t>
  </si>
  <si>
    <t>Uplift %</t>
  </si>
  <si>
    <t xml:space="preserve"> Best Flavour </t>
  </si>
  <si>
    <t>Mango: 3,382 units</t>
  </si>
  <si>
    <t xml:space="preserve">Peak Season </t>
  </si>
  <si>
    <t>Summer — 55.6% of Sales</t>
  </si>
  <si>
    <t>Ice Cream Seller Delhi —Pricing and Demand Dashboard</t>
  </si>
  <si>
    <t>Key Finding: Summer = 55.6% of sales  |  Mango = #1 flavour  |  Weekend revenue 27% higher  |  CP commands premium pricing</t>
  </si>
  <si>
    <t>Cost</t>
  </si>
  <si>
    <r>
      <t>Baseline Scenario</t>
    </r>
    <r>
      <rPr>
        <sz val="12"/>
        <color theme="1"/>
        <rFont val="Aptos Narrow"/>
        <family val="2"/>
        <scheme val="minor"/>
      </rPr>
      <t>: Prices at 45, 44, 35, 39, 60</t>
    </r>
  </si>
  <si>
    <r>
      <t>Premium Scenario</t>
    </r>
    <r>
      <rPr>
        <sz val="12"/>
        <color theme="1"/>
        <rFont val="Aptos Narrow"/>
        <family val="2"/>
        <scheme val="minor"/>
      </rPr>
      <t>: Prices at 50, 46, 38, 42, 63</t>
    </r>
  </si>
  <si>
    <r>
      <t>Volume Boost</t>
    </r>
    <r>
      <rPr>
        <sz val="12"/>
        <color theme="1"/>
        <rFont val="Aptos Narrow"/>
        <family val="2"/>
        <scheme val="minor"/>
      </rPr>
      <t>: Prices at 43, 41, 32, 36, 59</t>
    </r>
  </si>
  <si>
    <t>Baseline</t>
  </si>
  <si>
    <t>Premium</t>
  </si>
  <si>
    <t>Volume Boost</t>
  </si>
  <si>
    <t>Scenario Summary</t>
  </si>
  <si>
    <t xml:space="preserve"> Monsoon Pricing (Base) Dynamics</t>
  </si>
  <si>
    <t>I picked a season to sea how pricing dynamics change profits if we sell under scenarios</t>
  </si>
  <si>
    <t>Tool: Scenario Manager</t>
  </si>
  <si>
    <t>2024 Forecast For Monsoon</t>
  </si>
  <si>
    <t>Reference: 1) Pivot_DemandAnalysis : Pivot 5 (Demand Matrix), and Pivot 3 Season Demand</t>
  </si>
  <si>
    <t>Total Monsoon Demand</t>
  </si>
  <si>
    <t>For 2024</t>
  </si>
  <si>
    <t>Share in 2022-2023</t>
  </si>
  <si>
    <t>1188 Units: From Sheet 4) Demand Forecasting</t>
  </si>
  <si>
    <t>I could have done scenarios around demand changes on seasons, but preferred this, it is another type of further segmentation</t>
  </si>
  <si>
    <t>Expected Total Profit</t>
  </si>
  <si>
    <t>Prices (Changing Values)</t>
  </si>
  <si>
    <t xml:space="preserve"> Demand in Monsoon across 2 years</t>
  </si>
  <si>
    <t xml:space="preserve"> demand for years 2022+2023  is taken</t>
  </si>
  <si>
    <t>Margin</t>
  </si>
  <si>
    <t>Sum of Year Column</t>
  </si>
  <si>
    <t>Scenario</t>
  </si>
  <si>
    <t>Refresh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</si>
</sst>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quot;₹&quot;#,##0"/>
  </numFmts>
  <fonts count="25" x14ac:knownFonts="1">
    <font>
      <sz val="12"/>
      <color theme="1"/>
      <name val="Aptos Narrow"/>
      <family val="2"/>
      <scheme val="minor"/>
    </font>
    <font>
      <b/>
      <sz val="12"/>
      <color theme="1"/>
      <name val="Aptos Narrow"/>
      <family val="2"/>
      <scheme val="minor"/>
    </font>
    <font>
      <b/>
      <sz val="12"/>
      <color theme="1"/>
      <name val="Aptos Narrow"/>
      <scheme val="minor"/>
    </font>
    <font>
      <b/>
      <sz val="13"/>
      <color rgb="FFFFFFFF"/>
      <name val="Arial"/>
      <family val="2"/>
    </font>
    <font>
      <b/>
      <sz val="10"/>
      <color rgb="FFFFFFFF"/>
      <name val="Arial"/>
      <family val="2"/>
    </font>
    <font>
      <sz val="10"/>
      <color rgb="FF000000"/>
      <name val="Arial"/>
      <family val="2"/>
    </font>
    <font>
      <b/>
      <sz val="10"/>
      <color rgb="FFCC3300"/>
      <name val="Arial"/>
      <family val="2"/>
    </font>
    <font>
      <sz val="10"/>
      <name val="Arial"/>
      <family val="2"/>
    </font>
    <font>
      <i/>
      <sz val="9"/>
      <color rgb="FFCC3300"/>
      <name val="Arial"/>
      <family val="2"/>
    </font>
    <font>
      <sz val="12"/>
      <color theme="8" tint="-0.249977111117893"/>
      <name val="Aptos Narrow"/>
      <family val="2"/>
      <scheme val="minor"/>
    </font>
    <font>
      <sz val="12"/>
      <color rgb="FF000000"/>
      <name val="Aptos Narrow"/>
      <family val="2"/>
      <scheme val="minor"/>
    </font>
    <font>
      <b/>
      <sz val="12"/>
      <color theme="0"/>
      <name val="Aptos Narrow"/>
      <family val="2"/>
      <scheme val="minor"/>
    </font>
    <font>
      <sz val="12"/>
      <color theme="1"/>
      <name val="Calibri"/>
      <family val="2"/>
    </font>
    <font>
      <b/>
      <sz val="16"/>
      <color theme="0"/>
      <name val="Calibri"/>
      <family val="2"/>
    </font>
    <font>
      <b/>
      <sz val="16"/>
      <color theme="1"/>
      <name val="Calibri"/>
      <family val="2"/>
    </font>
    <font>
      <b/>
      <sz val="20"/>
      <color theme="1"/>
      <name val="Calibri"/>
      <family val="2"/>
    </font>
    <font>
      <b/>
      <sz val="12"/>
      <color theme="1"/>
      <name val="Calibri"/>
      <family val="2"/>
    </font>
    <font>
      <b/>
      <sz val="22"/>
      <color theme="0"/>
      <name val="Calibri"/>
      <family val="2"/>
    </font>
    <font>
      <b/>
      <sz val="14"/>
      <color indexed="9"/>
      <name val="Aptos Narrow"/>
      <family val="2"/>
      <scheme val="minor"/>
    </font>
    <font>
      <b/>
      <sz val="12"/>
      <color indexed="8"/>
      <name val="Aptos Narrow"/>
      <family val="2"/>
      <scheme val="minor"/>
    </font>
    <font>
      <sz val="11"/>
      <color indexed="9"/>
      <name val="Aptos Narrow"/>
      <family val="2"/>
      <scheme val="minor"/>
    </font>
    <font>
      <b/>
      <sz val="12"/>
      <color theme="1"/>
      <name val="Aptos Narrow (Body)"/>
    </font>
    <font>
      <sz val="8"/>
      <name val="Aptos Narrow"/>
      <family val="2"/>
      <scheme val="minor"/>
    </font>
    <font>
      <sz val="8"/>
      <color theme="1"/>
      <name val="Calibri"/>
      <family val="2"/>
    </font>
    <font>
      <sz val="8"/>
      <color rgb="FF0070C0"/>
      <name val="Calibri"/>
      <family val="2"/>
    </font>
  </fonts>
  <fills count="22">
    <fill>
      <patternFill patternType="none"/>
    </fill>
    <fill>
      <patternFill patternType="gray125"/>
    </fill>
    <fill>
      <patternFill patternType="solid">
        <fgColor theme="8" tint="0.59999389629810485"/>
        <bgColor indexed="64"/>
      </patternFill>
    </fill>
    <fill>
      <patternFill patternType="solid">
        <fgColor rgb="FF1A1A2E"/>
        <bgColor rgb="FF333300"/>
      </patternFill>
    </fill>
    <fill>
      <patternFill patternType="solid">
        <fgColor rgb="FFE8622A"/>
        <bgColor rgb="FFFF8080"/>
      </patternFill>
    </fill>
    <fill>
      <patternFill patternType="solid">
        <fgColor rgb="FFDDEEFF"/>
        <bgColor rgb="FFD5F5E3"/>
      </patternFill>
    </fill>
    <fill>
      <patternFill patternType="solid">
        <fgColor rgb="FFFFF9C4"/>
        <bgColor rgb="FFFFFF99"/>
      </patternFill>
    </fill>
    <fill>
      <patternFill patternType="solid">
        <fgColor rgb="FFFFFF99"/>
        <bgColor rgb="FFFFF9C4"/>
      </patternFill>
    </fill>
    <fill>
      <patternFill patternType="solid">
        <fgColor rgb="FFD5F5E3"/>
        <bgColor rgb="FFDDEEFF"/>
      </patternFill>
    </fill>
    <fill>
      <patternFill patternType="solid">
        <fgColor rgb="FFFFE0CC"/>
        <bgColor rgb="FFFFF9C4"/>
      </patternFill>
    </fill>
    <fill>
      <patternFill patternType="solid">
        <fgColor theme="8" tint="0.39997558519241921"/>
        <bgColor indexed="64"/>
      </patternFill>
    </fill>
    <fill>
      <patternFill patternType="solid">
        <fgColor theme="1"/>
        <bgColor theme="1"/>
      </patternFill>
    </fill>
    <fill>
      <patternFill patternType="solid">
        <fgColor theme="4"/>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002060"/>
        <bgColor indexed="64"/>
      </patternFill>
    </fill>
    <fill>
      <patternFill patternType="solid">
        <fgColor theme="2"/>
        <bgColor indexed="64"/>
      </patternFill>
    </fill>
    <fill>
      <patternFill patternType="solid">
        <fgColor theme="2" tint="-9.9978637043366805E-2"/>
        <bgColor indexed="64"/>
      </patternFill>
    </fill>
    <fill>
      <patternFill patternType="solid">
        <fgColor indexed="20"/>
        <bgColor indexed="24"/>
      </patternFill>
    </fill>
    <fill>
      <patternFill patternType="solid">
        <fgColor theme="7"/>
        <bgColor indexed="64"/>
      </patternFill>
    </fill>
    <fill>
      <patternFill patternType="solid">
        <fgColor theme="2" tint="-9.9978637043366805E-2"/>
        <bgColor indexed="24"/>
      </patternFill>
    </fill>
  </fills>
  <borders count="30">
    <border>
      <left/>
      <right/>
      <top/>
      <bottom/>
      <diagonal/>
    </border>
    <border>
      <left style="medium">
        <color indexed="64"/>
      </left>
      <right style="medium">
        <color indexed="64"/>
      </right>
      <top style="medium">
        <color indexed="64"/>
      </top>
      <bottom style="medium">
        <color indexed="64"/>
      </bottom>
      <diagonal/>
    </border>
    <border>
      <left style="thin">
        <color rgb="FFCCCCCC"/>
      </left>
      <right style="thin">
        <color rgb="FFCCCCCC"/>
      </right>
      <top style="thin">
        <color rgb="FFCCCCCC"/>
      </top>
      <bottom style="thin">
        <color rgb="FFCCCCCC"/>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theme="1"/>
      </left>
      <right/>
      <top style="thin">
        <color theme="1"/>
      </top>
      <bottom/>
      <diagonal/>
    </border>
    <border>
      <left/>
      <right/>
      <top style="thin">
        <color theme="1"/>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diagonal/>
    </border>
    <border>
      <left/>
      <right style="thin">
        <color theme="1"/>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116">
    <xf numFmtId="0" fontId="0" fillId="0" borderId="0" xfId="0"/>
    <xf numFmtId="0" fontId="1" fillId="0" borderId="0" xfId="0" applyFont="1"/>
    <xf numFmtId="15" fontId="0" fillId="0" borderId="0" xfId="0" applyNumberFormat="1"/>
    <xf numFmtId="0" fontId="2" fillId="0" borderId="0" xfId="0" applyFont="1"/>
    <xf numFmtId="1" fontId="0" fillId="0" borderId="0" xfId="0" applyNumberFormat="1"/>
    <xf numFmtId="1" fontId="1" fillId="0" borderId="0" xfId="0" applyNumberFormat="1" applyFont="1"/>
    <xf numFmtId="0" fontId="0" fillId="0" borderId="0" xfId="0" quotePrefix="1"/>
    <xf numFmtId="0" fontId="0" fillId="0" borderId="0" xfId="0" pivotButton="1"/>
    <xf numFmtId="0" fontId="0" fillId="0" borderId="0" xfId="0" applyAlignment="1">
      <alignment horizontal="left"/>
    </xf>
    <xf numFmtId="0" fontId="2" fillId="2" borderId="1" xfId="0" applyFont="1" applyFill="1" applyBorder="1"/>
    <xf numFmtId="10" fontId="0" fillId="0" borderId="0" xfId="0" applyNumberFormat="1"/>
    <xf numFmtId="2" fontId="0" fillId="0" borderId="0" xfId="0" applyNumberFormat="1"/>
    <xf numFmtId="0" fontId="4" fillId="4" borderId="2" xfId="0" applyFont="1" applyFill="1" applyBorder="1" applyAlignment="1">
      <alignment horizontal="center" vertical="center"/>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0" fontId="6" fillId="7" borderId="2" xfId="0" applyFont="1" applyFill="1" applyBorder="1" applyAlignment="1">
      <alignment horizontal="center" vertical="center"/>
    </xf>
    <xf numFmtId="164" fontId="6" fillId="7" borderId="2" xfId="0" applyNumberFormat="1" applyFont="1" applyFill="1" applyBorder="1" applyAlignment="1">
      <alignment horizontal="center" vertical="center"/>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0" fontId="5" fillId="9" borderId="2" xfId="0" applyFont="1" applyFill="1" applyBorder="1" applyAlignment="1">
      <alignment horizontal="center" vertical="center"/>
    </xf>
    <xf numFmtId="164" fontId="5" fillId="9" borderId="2" xfId="0" applyNumberFormat="1" applyFont="1" applyFill="1" applyBorder="1" applyAlignment="1">
      <alignment horizontal="center" vertical="center"/>
    </xf>
    <xf numFmtId="0" fontId="4" fillId="3" borderId="2" xfId="0" applyFont="1" applyFill="1" applyBorder="1" applyAlignment="1">
      <alignment horizontal="center"/>
    </xf>
    <xf numFmtId="0" fontId="7" fillId="5" borderId="2" xfId="0" applyFont="1" applyFill="1" applyBorder="1" applyAlignment="1">
      <alignment horizontal="center"/>
    </xf>
    <xf numFmtId="0" fontId="8" fillId="0" borderId="0" xfId="0" applyFont="1"/>
    <xf numFmtId="0" fontId="7" fillId="6" borderId="2" xfId="0" applyFont="1" applyFill="1" applyBorder="1" applyAlignment="1">
      <alignment horizontal="center"/>
    </xf>
    <xf numFmtId="0" fontId="7" fillId="8" borderId="2" xfId="0" applyFont="1" applyFill="1" applyBorder="1" applyAlignment="1">
      <alignment horizontal="center"/>
    </xf>
    <xf numFmtId="0" fontId="7" fillId="9" borderId="2" xfId="0" applyFont="1" applyFill="1" applyBorder="1" applyAlignment="1">
      <alignment horizontal="center"/>
    </xf>
    <xf numFmtId="2" fontId="1" fillId="0" borderId="0" xfId="0" applyNumberFormat="1" applyFont="1"/>
    <xf numFmtId="2" fontId="0" fillId="0" borderId="0" xfId="0" applyNumberFormat="1" applyAlignment="1">
      <alignment wrapText="1"/>
    </xf>
    <xf numFmtId="0" fontId="0" fillId="2" borderId="1" xfId="0" applyFill="1" applyBorder="1"/>
    <xf numFmtId="0" fontId="9" fillId="0" borderId="0" xfId="0" applyFont="1" applyAlignment="1">
      <alignment horizontal="left"/>
    </xf>
    <xf numFmtId="9" fontId="0" fillId="0" borderId="0" xfId="0" applyNumberFormat="1"/>
    <xf numFmtId="0" fontId="0" fillId="0" borderId="5" xfId="0" applyBorder="1"/>
    <xf numFmtId="0" fontId="0" fillId="0" borderId="5" xfId="0" applyBorder="1" applyAlignment="1">
      <alignment horizontal="left"/>
    </xf>
    <xf numFmtId="0" fontId="2" fillId="10" borderId="5" xfId="0" applyFont="1" applyFill="1" applyBorder="1"/>
    <xf numFmtId="0" fontId="2" fillId="0" borderId="6" xfId="0" applyFont="1" applyBorder="1"/>
    <xf numFmtId="0" fontId="10" fillId="0" borderId="5" xfId="0" applyFont="1" applyBorder="1" applyAlignment="1">
      <alignment horizontal="left"/>
    </xf>
    <xf numFmtId="0" fontId="10" fillId="0" borderId="5" xfId="0" applyFont="1" applyBorder="1"/>
    <xf numFmtId="0" fontId="11" fillId="11" borderId="7" xfId="0" applyFont="1" applyFill="1" applyBorder="1"/>
    <xf numFmtId="0" fontId="11" fillId="11" borderId="8" xfId="0" applyFont="1" applyFill="1" applyBorder="1"/>
    <xf numFmtId="0" fontId="0" fillId="0" borderId="7" xfId="0" applyBorder="1"/>
    <xf numFmtId="0" fontId="0" fillId="0" borderId="9" xfId="0" applyBorder="1"/>
    <xf numFmtId="0" fontId="11" fillId="11" borderId="11" xfId="0" applyFont="1" applyFill="1" applyBorder="1"/>
    <xf numFmtId="0" fontId="0" fillId="0" borderId="11" xfId="0" applyBorder="1"/>
    <xf numFmtId="0" fontId="0" fillId="0" borderId="12" xfId="0" applyBorder="1"/>
    <xf numFmtId="0" fontId="0" fillId="0" borderId="8" xfId="0" applyBorder="1"/>
    <xf numFmtId="0" fontId="0" fillId="0" borderId="10" xfId="0" applyBorder="1"/>
    <xf numFmtId="0" fontId="12" fillId="0" borderId="0" xfId="0" applyFont="1"/>
    <xf numFmtId="0" fontId="2" fillId="10" borderId="0" xfId="0" applyFont="1" applyFill="1"/>
    <xf numFmtId="0" fontId="0" fillId="10" borderId="1" xfId="0" applyFill="1" applyBorder="1"/>
    <xf numFmtId="0" fontId="15" fillId="0" borderId="0" xfId="0" applyFont="1" applyAlignment="1">
      <alignment vertical="center"/>
    </xf>
    <xf numFmtId="0" fontId="11" fillId="11" borderId="5" xfId="0" applyFont="1" applyFill="1" applyBorder="1"/>
    <xf numFmtId="0" fontId="12" fillId="17" borderId="0" xfId="0" applyFont="1" applyFill="1"/>
    <xf numFmtId="0" fontId="15" fillId="17" borderId="0" xfId="0" applyFont="1" applyFill="1" applyAlignment="1">
      <alignment vertical="center"/>
    </xf>
    <xf numFmtId="0" fontId="11" fillId="11" borderId="29" xfId="0" applyFont="1" applyFill="1" applyBorder="1"/>
    <xf numFmtId="0" fontId="11" fillId="0" borderId="0" xfId="0" applyFont="1"/>
    <xf numFmtId="0" fontId="2" fillId="0" borderId="28" xfId="0" applyFont="1" applyBorder="1"/>
    <xf numFmtId="0" fontId="2" fillId="20" borderId="0" xfId="0" applyFont="1" applyFill="1"/>
    <xf numFmtId="0" fontId="2" fillId="0" borderId="0" xfId="0" quotePrefix="1" applyFont="1"/>
    <xf numFmtId="0" fontId="18" fillId="19" borderId="5" xfId="0" applyFont="1" applyFill="1" applyBorder="1" applyAlignment="1">
      <alignment horizontal="left"/>
    </xf>
    <xf numFmtId="0" fontId="20" fillId="19" borderId="5" xfId="0" applyFont="1" applyFill="1" applyBorder="1" applyAlignment="1">
      <alignment horizontal="right"/>
    </xf>
    <xf numFmtId="0" fontId="0" fillId="18" borderId="5" xfId="0" applyFill="1" applyBorder="1"/>
    <xf numFmtId="0" fontId="0" fillId="18" borderId="0" xfId="0" applyFill="1"/>
    <xf numFmtId="0" fontId="19" fillId="21" borderId="5" xfId="0" applyFont="1" applyFill="1" applyBorder="1" applyAlignment="1">
      <alignment horizontal="left"/>
    </xf>
    <xf numFmtId="0" fontId="2" fillId="18" borderId="5" xfId="0" applyFont="1" applyFill="1" applyBorder="1"/>
    <xf numFmtId="0" fontId="2" fillId="18" borderId="0" xfId="0" applyFont="1" applyFill="1"/>
    <xf numFmtId="0" fontId="0" fillId="18" borderId="5" xfId="0" applyFill="1" applyBorder="1" applyAlignment="1">
      <alignment horizontal="left"/>
    </xf>
    <xf numFmtId="10" fontId="0" fillId="18" borderId="5" xfId="0" applyNumberFormat="1" applyFill="1" applyBorder="1"/>
    <xf numFmtId="1" fontId="0" fillId="18" borderId="5" xfId="0" applyNumberFormat="1" applyFill="1" applyBorder="1"/>
    <xf numFmtId="0" fontId="11" fillId="0" borderId="7" xfId="0" applyFont="1" applyBorder="1"/>
    <xf numFmtId="0" fontId="11" fillId="0" borderId="8" xfId="0" applyFont="1" applyBorder="1"/>
    <xf numFmtId="0" fontId="11" fillId="0" borderId="11" xfId="0" applyFont="1" applyBorder="1"/>
    <xf numFmtId="0" fontId="16" fillId="18" borderId="0" xfId="0" applyFont="1" applyFill="1" applyAlignment="1">
      <alignment horizontal="center" vertical="center"/>
    </xf>
    <xf numFmtId="0" fontId="17" fillId="12" borderId="13" xfId="0" applyFont="1" applyFill="1" applyBorder="1" applyAlignment="1">
      <alignment horizontal="center" vertical="center"/>
    </xf>
    <xf numFmtId="0" fontId="17" fillId="12" borderId="14" xfId="0" applyFont="1" applyFill="1" applyBorder="1" applyAlignment="1">
      <alignment horizontal="center" vertical="center"/>
    </xf>
    <xf numFmtId="0" fontId="17" fillId="12" borderId="18" xfId="0" applyFont="1" applyFill="1" applyBorder="1" applyAlignment="1">
      <alignment horizontal="center" vertical="center"/>
    </xf>
    <xf numFmtId="0" fontId="17" fillId="12" borderId="15" xfId="0" applyFont="1" applyFill="1" applyBorder="1" applyAlignment="1">
      <alignment horizontal="center" vertical="center"/>
    </xf>
    <xf numFmtId="0" fontId="17" fillId="12" borderId="0" xfId="0" applyFont="1" applyFill="1" applyAlignment="1">
      <alignment horizontal="center" vertical="center"/>
    </xf>
    <xf numFmtId="0" fontId="17" fillId="12" borderId="19" xfId="0" applyFont="1" applyFill="1" applyBorder="1" applyAlignment="1">
      <alignment horizontal="center" vertical="center"/>
    </xf>
    <xf numFmtId="0" fontId="17" fillId="12" borderId="16" xfId="0" applyFont="1" applyFill="1" applyBorder="1" applyAlignment="1">
      <alignment horizontal="center" vertical="center"/>
    </xf>
    <xf numFmtId="0" fontId="17" fillId="12" borderId="17" xfId="0" applyFont="1" applyFill="1" applyBorder="1" applyAlignment="1">
      <alignment horizontal="center" vertical="center"/>
    </xf>
    <xf numFmtId="0" fontId="17" fillId="12" borderId="20" xfId="0" applyFont="1" applyFill="1" applyBorder="1" applyAlignment="1">
      <alignment horizontal="center" vertical="center"/>
    </xf>
    <xf numFmtId="165" fontId="14" fillId="13" borderId="5" xfId="0" applyNumberFormat="1" applyFont="1" applyFill="1" applyBorder="1" applyAlignment="1">
      <alignment horizontal="center" vertical="center" wrapText="1"/>
    </xf>
    <xf numFmtId="165" fontId="14" fillId="14" borderId="21" xfId="0" applyNumberFormat="1" applyFont="1" applyFill="1" applyBorder="1" applyAlignment="1">
      <alignment horizontal="center" vertical="center" wrapText="1"/>
    </xf>
    <xf numFmtId="165" fontId="14" fillId="14" borderId="22" xfId="0" applyNumberFormat="1" applyFont="1" applyFill="1" applyBorder="1" applyAlignment="1">
      <alignment horizontal="center" vertical="center" wrapText="1"/>
    </xf>
    <xf numFmtId="165" fontId="14" fillId="14" borderId="23" xfId="0" applyNumberFormat="1" applyFont="1" applyFill="1" applyBorder="1" applyAlignment="1">
      <alignment horizontal="center" vertical="center" wrapText="1"/>
    </xf>
    <xf numFmtId="165" fontId="14" fillId="14" borderId="24" xfId="0" applyNumberFormat="1" applyFont="1" applyFill="1" applyBorder="1" applyAlignment="1">
      <alignment horizontal="center" vertical="center" wrapText="1"/>
    </xf>
    <xf numFmtId="165" fontId="13" fillId="16" borderId="26" xfId="0" applyNumberFormat="1" applyFont="1" applyFill="1" applyBorder="1" applyAlignment="1">
      <alignment horizontal="center" vertical="center"/>
    </xf>
    <xf numFmtId="165" fontId="13" fillId="16" borderId="27" xfId="0" applyNumberFormat="1" applyFont="1" applyFill="1" applyBorder="1" applyAlignment="1">
      <alignment horizontal="center" vertical="center"/>
    </xf>
    <xf numFmtId="165" fontId="13" fillId="16" borderId="21" xfId="0" applyNumberFormat="1" applyFont="1" applyFill="1" applyBorder="1" applyAlignment="1">
      <alignment horizontal="center" vertical="center"/>
    </xf>
    <xf numFmtId="165" fontId="13" fillId="16" borderId="22" xfId="0" applyNumberFormat="1" applyFont="1" applyFill="1" applyBorder="1" applyAlignment="1">
      <alignment horizontal="center" vertical="center"/>
    </xf>
    <xf numFmtId="0" fontId="13" fillId="16" borderId="26" xfId="0" applyFont="1" applyFill="1" applyBorder="1" applyAlignment="1">
      <alignment horizontal="center" vertical="center"/>
    </xf>
    <xf numFmtId="0" fontId="13" fillId="16" borderId="27" xfId="0" applyFont="1" applyFill="1" applyBorder="1" applyAlignment="1">
      <alignment horizontal="center" vertical="center"/>
    </xf>
    <xf numFmtId="0" fontId="13" fillId="16" borderId="21" xfId="0" applyFont="1" applyFill="1" applyBorder="1" applyAlignment="1">
      <alignment horizontal="center" vertical="center"/>
    </xf>
    <xf numFmtId="0" fontId="13" fillId="16" borderId="22" xfId="0" applyFont="1" applyFill="1" applyBorder="1" applyAlignment="1">
      <alignment horizontal="center" vertical="center"/>
    </xf>
    <xf numFmtId="0" fontId="14" fillId="15" borderId="21" xfId="0" applyFont="1" applyFill="1" applyBorder="1" applyAlignment="1">
      <alignment horizontal="center" vertical="center" wrapText="1"/>
    </xf>
    <xf numFmtId="0" fontId="14" fillId="15" borderId="22" xfId="0" applyFont="1" applyFill="1" applyBorder="1" applyAlignment="1">
      <alignment horizontal="center" vertical="center" wrapText="1"/>
    </xf>
    <xf numFmtId="0" fontId="14" fillId="15" borderId="23" xfId="0" applyFont="1" applyFill="1" applyBorder="1" applyAlignment="1">
      <alignment horizontal="center" vertical="center" wrapText="1"/>
    </xf>
    <xf numFmtId="0" fontId="14" fillId="15" borderId="24" xfId="0" applyFont="1" applyFill="1" applyBorder="1" applyAlignment="1">
      <alignment horizontal="center" vertical="center" wrapText="1"/>
    </xf>
    <xf numFmtId="0" fontId="14" fillId="2" borderId="21" xfId="0" applyFont="1" applyFill="1" applyBorder="1" applyAlignment="1">
      <alignment horizontal="center" vertical="center" wrapText="1"/>
    </xf>
    <xf numFmtId="0" fontId="14" fillId="2" borderId="22" xfId="0" applyFont="1" applyFill="1" applyBorder="1" applyAlignment="1">
      <alignment horizontal="center" vertical="center" wrapText="1"/>
    </xf>
    <xf numFmtId="0" fontId="14" fillId="2" borderId="23" xfId="0" applyFont="1" applyFill="1" applyBorder="1" applyAlignment="1">
      <alignment horizontal="center" vertical="center" wrapText="1"/>
    </xf>
    <xf numFmtId="0" fontId="14" fillId="2" borderId="24" xfId="0" applyFont="1" applyFill="1" applyBorder="1" applyAlignment="1">
      <alignment horizontal="center" vertical="center" wrapText="1"/>
    </xf>
    <xf numFmtId="165" fontId="13" fillId="16" borderId="25" xfId="0" applyNumberFormat="1" applyFont="1" applyFill="1" applyBorder="1" applyAlignment="1">
      <alignment horizontal="center" vertical="center"/>
    </xf>
    <xf numFmtId="165" fontId="13" fillId="16" borderId="5" xfId="0" applyNumberFormat="1" applyFont="1" applyFill="1" applyBorder="1" applyAlignment="1">
      <alignment horizontal="center" vertical="center"/>
    </xf>
    <xf numFmtId="0" fontId="21" fillId="18" borderId="5" xfId="0" applyFont="1" applyFill="1" applyBorder="1" applyAlignment="1">
      <alignment horizontal="center"/>
    </xf>
    <xf numFmtId="0" fontId="2" fillId="2" borderId="3" xfId="0" quotePrefix="1" applyFont="1" applyFill="1" applyBorder="1" applyAlignment="1">
      <alignment horizontal="center"/>
    </xf>
    <xf numFmtId="0" fontId="2" fillId="2" borderId="4" xfId="0" quotePrefix="1" applyFont="1" applyFill="1" applyBorder="1" applyAlignment="1">
      <alignment horizontal="center"/>
    </xf>
    <xf numFmtId="0" fontId="2" fillId="10" borderId="0" xfId="0" quotePrefix="1" applyFont="1" applyFill="1" applyAlignment="1">
      <alignment horizontal="center"/>
    </xf>
    <xf numFmtId="0" fontId="3" fillId="3" borderId="0" xfId="0" applyFont="1" applyFill="1" applyAlignment="1">
      <alignment horizontal="center" vertical="center"/>
    </xf>
    <xf numFmtId="0" fontId="23" fillId="17" borderId="0" xfId="0" applyFont="1" applyFill="1" applyAlignment="1">
      <alignment horizontal="right" wrapText="1"/>
    </xf>
    <xf numFmtId="0" fontId="23" fillId="17" borderId="0" xfId="0" applyFont="1" applyFill="1" applyAlignment="1">
      <alignment wrapText="1"/>
    </xf>
    <xf numFmtId="0" fontId="24" fillId="17" borderId="0" xfId="0" applyFont="1" applyFill="1" applyAlignment="1">
      <alignment horizontal="center" vertical="center" wrapText="1"/>
    </xf>
    <xf numFmtId="0" fontId="24" fillId="17" borderId="0" xfId="0" applyFont="1" applyFill="1" applyAlignment="1">
      <alignment horizontal="right"/>
    </xf>
  </cellXfs>
  <cellStyles count="1">
    <cellStyle name="Normal" xfId="0" builtinId="0"/>
  </cellStyles>
  <dxfs count="44">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14" formatCode="0.00%"/>
    </dxf>
    <dxf>
      <numFmt numFmtId="2" formatCode="0.00"/>
    </dxf>
    <dxf>
      <numFmt numFmtId="2" formatCode="0.00"/>
    </dxf>
    <dxf>
      <numFmt numFmtId="2" formatCode="0.00"/>
    </dxf>
    <dxf>
      <numFmt numFmtId="2" formatCode="0.00"/>
    </dxf>
    <dxf>
      <numFmt numFmtId="2" formatCode="0.00"/>
    </dxf>
    <dxf>
      <numFmt numFmtId="1" formatCode="0"/>
    </dxf>
    <dxf>
      <numFmt numFmtId="14" formatCode="0.00%"/>
    </dxf>
    <dxf>
      <numFmt numFmtId="2" formatCode="0.00"/>
    </dxf>
    <dxf>
      <numFmt numFmtId="2" formatCode="0.00"/>
    </dxf>
    <dxf>
      <numFmt numFmtId="2" formatCode="0.00"/>
    </dxf>
    <dxf>
      <numFmt numFmtId="2" formatCode="0.00"/>
    </dxf>
    <dxf>
      <numFmt numFmtId="2" formatCode="0.00"/>
    </dxf>
    <dxf>
      <numFmt numFmtId="1" formatCode="0"/>
    </dxf>
    <dxf>
      <numFmt numFmtId="14" formatCode="0.00%"/>
    </dxf>
    <dxf>
      <numFmt numFmtId="0" formatCode="General"/>
    </dxf>
    <dxf>
      <numFmt numFmtId="0" formatCode="General"/>
    </dxf>
    <dxf>
      <font>
        <b/>
        <i val="0"/>
        <strike val="0"/>
        <condense val="0"/>
        <extend val="0"/>
        <outline val="0"/>
        <shadow val="0"/>
        <u val="none"/>
        <vertAlign val="baseline"/>
        <sz val="12"/>
        <color theme="1"/>
        <name val="Aptos Narrow"/>
        <family val="2"/>
        <scheme val="minor"/>
      </font>
    </dxf>
    <dxf>
      <numFmt numFmtId="2" formatCode="0.00"/>
    </dxf>
    <dxf>
      <numFmt numFmtId="2" formatCode="0.00"/>
    </dxf>
    <dxf>
      <numFmt numFmtId="2" formatCode="0.00"/>
    </dxf>
    <dxf>
      <font>
        <b/>
        <i val="0"/>
        <strike val="0"/>
        <condense val="0"/>
        <extend val="0"/>
        <outline val="0"/>
        <shadow val="0"/>
        <u val="none"/>
        <vertAlign val="baseline"/>
        <sz val="12"/>
        <color theme="1"/>
        <name val="Aptos Narrow"/>
        <family val="2"/>
        <scheme val="minor"/>
      </font>
    </dxf>
    <dxf>
      <numFmt numFmtId="2" formatCode="0.00"/>
    </dxf>
    <dxf>
      <font>
        <b/>
        <i val="0"/>
        <strike val="0"/>
        <condense val="0"/>
        <extend val="0"/>
        <outline val="0"/>
        <shadow val="0"/>
        <u val="none"/>
        <vertAlign val="baseline"/>
        <sz val="12"/>
        <color theme="1"/>
        <name val="Aptos Narrow"/>
        <family val="2"/>
        <scheme val="minor"/>
      </font>
    </dxf>
    <dxf>
      <numFmt numFmtId="2" formatCode="0.00"/>
    </dxf>
    <dxf>
      <numFmt numFmtId="2" formatCode="0.00"/>
    </dxf>
    <dxf>
      <numFmt numFmtId="2" formatCode="0.0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2"/>
        <color theme="1"/>
        <name val="Aptos Narrow"/>
        <family val="2"/>
        <scheme val="minor"/>
      </font>
    </dxf>
    <dxf>
      <numFmt numFmtId="14" formatCode="0.00%"/>
    </dxf>
    <dxf>
      <numFmt numFmtId="2" formatCode="0.00"/>
    </dxf>
    <dxf>
      <numFmt numFmtId="2" formatCode="0.00"/>
    </dxf>
    <dxf>
      <numFmt numFmtId="2" formatCode="0.00"/>
    </dxf>
    <dxf>
      <font>
        <color theme="8" tint="-0.249977111117893"/>
      </font>
    </dxf>
    <dxf>
      <font>
        <color theme="8" tint="-0.249977111117893"/>
      </font>
    </dxf>
    <dxf>
      <fill>
        <patternFill patternType="none">
          <bgColor auto="1"/>
        </patternFill>
      </fill>
    </dxf>
    <dxf>
      <font>
        <color theme="8" tint="-0.249977111117893"/>
      </font>
    </dxf>
    <dxf>
      <font>
        <color theme="8" tint="-0.249977111117893"/>
      </font>
    </dxf>
    <dxf>
      <font>
        <b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Seasonal Demand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'4)Demand Forecasting'!$B$22</c:f>
              <c:strCache>
                <c:ptCount val="1"/>
                <c:pt idx="0">
                  <c:v>Summer</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Forecasting'!$B$23:$B$25</c:f>
              <c:numCache>
                <c:formatCode>General</c:formatCode>
                <c:ptCount val="3"/>
                <c:pt idx="0">
                  <c:v>2445</c:v>
                </c:pt>
                <c:pt idx="1">
                  <c:v>2857</c:v>
                </c:pt>
                <c:pt idx="2">
                  <c:v>3269</c:v>
                </c:pt>
              </c:numCache>
            </c:numRef>
          </c:val>
          <c:smooth val="0"/>
          <c:extLst>
            <c:ext xmlns:c16="http://schemas.microsoft.com/office/drawing/2014/chart" uri="{C3380CC4-5D6E-409C-BE32-E72D297353CC}">
              <c16:uniqueId val="{00000000-6818-FE42-A693-E686455F2200}"/>
            </c:ext>
          </c:extLst>
        </c:ser>
        <c:ser>
          <c:idx val="1"/>
          <c:order val="1"/>
          <c:tx>
            <c:strRef>
              <c:f>'4)Demand Forecasting'!$C$22</c:f>
              <c:strCache>
                <c:ptCount val="1"/>
                <c:pt idx="0">
                  <c:v>Monsoon</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Forecasting'!$C$23:$C$25</c:f>
              <c:numCache>
                <c:formatCode>General</c:formatCode>
                <c:ptCount val="3"/>
                <c:pt idx="0">
                  <c:v>1082</c:v>
                </c:pt>
                <c:pt idx="1">
                  <c:v>1135</c:v>
                </c:pt>
                <c:pt idx="2">
                  <c:v>1188</c:v>
                </c:pt>
              </c:numCache>
            </c:numRef>
          </c:val>
          <c:smooth val="0"/>
          <c:extLst>
            <c:ext xmlns:c16="http://schemas.microsoft.com/office/drawing/2014/chart" uri="{C3380CC4-5D6E-409C-BE32-E72D297353CC}">
              <c16:uniqueId val="{00000001-6818-FE42-A693-E686455F2200}"/>
            </c:ext>
          </c:extLst>
        </c:ser>
        <c:ser>
          <c:idx val="2"/>
          <c:order val="2"/>
          <c:tx>
            <c:strRef>
              <c:f>'4)Demand Forecasting'!$D$22</c:f>
              <c:strCache>
                <c:ptCount val="1"/>
                <c:pt idx="0">
                  <c:v>Winter</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Forecasting'!$D$23:$D$25</c:f>
              <c:numCache>
                <c:formatCode>General</c:formatCode>
                <c:ptCount val="3"/>
                <c:pt idx="0">
                  <c:v>795</c:v>
                </c:pt>
                <c:pt idx="1">
                  <c:v>1229</c:v>
                </c:pt>
                <c:pt idx="2">
                  <c:v>1663</c:v>
                </c:pt>
              </c:numCache>
            </c:numRef>
          </c:val>
          <c:smooth val="0"/>
          <c:extLst>
            <c:ext xmlns:c16="http://schemas.microsoft.com/office/drawing/2014/chart" uri="{C3380CC4-5D6E-409C-BE32-E72D297353CC}">
              <c16:uniqueId val="{00000002-6818-FE42-A693-E686455F2200}"/>
            </c:ext>
          </c:extLst>
        </c:ser>
        <c:dLbls>
          <c:showLegendKey val="0"/>
          <c:showVal val="0"/>
          <c:showCatName val="0"/>
          <c:showSerName val="0"/>
          <c:showPercent val="0"/>
          <c:showBubbleSize val="0"/>
        </c:dLbls>
        <c:smooth val="0"/>
        <c:axId val="1141578639"/>
        <c:axId val="1141580351"/>
      </c:lineChart>
      <c:catAx>
        <c:axId val="11415786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80351"/>
        <c:crosses val="autoZero"/>
        <c:auto val="1"/>
        <c:lblAlgn val="ctr"/>
        <c:lblOffset val="100"/>
        <c:noMultiLvlLbl val="0"/>
      </c:catAx>
      <c:valAx>
        <c:axId val="11415803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78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kumimoji="0" lang="en-IN" sz="1600" b="1" i="0" u="none" strike="noStrike" kern="1200" cap="none" spc="100" normalizeH="0" baseline="0" noProof="0">
                <a:ln>
                  <a:noFill/>
                </a:ln>
                <a:solidFill>
                  <a:sysClr val="window" lastClr="FFFFFF">
                    <a:lumMod val="95000"/>
                  </a:sysClr>
                </a:solidFill>
                <a:effectLst>
                  <a:outerShdw blurRad="50800" dist="38100" dir="5400000" algn="t" rotWithShape="0">
                    <a:prstClr val="black">
                      <a:alpha val="40000"/>
                    </a:prstClr>
                  </a:outerShdw>
                </a:effectLst>
                <a:uLnTx/>
                <a:uFillTx/>
                <a:latin typeface="Aptos Narrow" panose="02110004020202020204"/>
              </a:rPr>
              <a:t>P&amp;L Comparison: Actual vs Projected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'5) Profit Loss'!$B$22</c:f>
              <c:strCache>
                <c:ptCount val="1"/>
                <c:pt idx="0">
                  <c:v>2023 Actual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 Profit Loss'!$A$23:$A$25</c:f>
              <c:strCache>
                <c:ptCount val="3"/>
                <c:pt idx="0">
                  <c:v>Total Revenue</c:v>
                </c:pt>
                <c:pt idx="1">
                  <c:v>Total Cost</c:v>
                </c:pt>
                <c:pt idx="2">
                  <c:v>Gross Profit</c:v>
                </c:pt>
              </c:strCache>
            </c:strRef>
          </c:cat>
          <c:val>
            <c:numRef>
              <c:f>'5) Profit Loss'!$B$23:$B$25</c:f>
              <c:numCache>
                <c:formatCode>0.00</c:formatCode>
                <c:ptCount val="3"/>
                <c:pt idx="0">
                  <c:v>204493.45</c:v>
                </c:pt>
                <c:pt idx="1">
                  <c:v>89284.33</c:v>
                </c:pt>
                <c:pt idx="2">
                  <c:v>115209.11999999998</c:v>
                </c:pt>
              </c:numCache>
            </c:numRef>
          </c:val>
          <c:extLst>
            <c:ext xmlns:c16="http://schemas.microsoft.com/office/drawing/2014/chart" uri="{C3380CC4-5D6E-409C-BE32-E72D297353CC}">
              <c16:uniqueId val="{00000000-52DA-A84A-9135-DB6950886DC3}"/>
            </c:ext>
          </c:extLst>
        </c:ser>
        <c:ser>
          <c:idx val="1"/>
          <c:order val="1"/>
          <c:tx>
            <c:strRef>
              <c:f>'5) Profit Loss'!$C$22</c:f>
              <c:strCache>
                <c:ptCount val="1"/>
                <c:pt idx="0">
                  <c:v>2024 Projected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 Profit Loss'!$A$23:$A$25</c:f>
              <c:strCache>
                <c:ptCount val="3"/>
                <c:pt idx="0">
                  <c:v>Total Revenue</c:v>
                </c:pt>
                <c:pt idx="1">
                  <c:v>Total Cost</c:v>
                </c:pt>
                <c:pt idx="2">
                  <c:v>Gross Profit</c:v>
                </c:pt>
              </c:strCache>
            </c:strRef>
          </c:cat>
          <c:val>
            <c:numRef>
              <c:f>'5) Profit Loss'!$C$23:$C$25</c:f>
              <c:numCache>
                <c:formatCode>0.00</c:formatCode>
                <c:ptCount val="3"/>
                <c:pt idx="0">
                  <c:v>274216.86</c:v>
                </c:pt>
                <c:pt idx="1">
                  <c:v>104757.86</c:v>
                </c:pt>
                <c:pt idx="2">
                  <c:v>169459</c:v>
                </c:pt>
              </c:numCache>
            </c:numRef>
          </c:val>
          <c:extLst>
            <c:ext xmlns:c16="http://schemas.microsoft.com/office/drawing/2014/chart" uri="{C3380CC4-5D6E-409C-BE32-E72D297353CC}">
              <c16:uniqueId val="{00000001-52DA-A84A-9135-DB6950886DC3}"/>
            </c:ext>
          </c:extLst>
        </c:ser>
        <c:dLbls>
          <c:showLegendKey val="0"/>
          <c:showVal val="0"/>
          <c:showCatName val="0"/>
          <c:showSerName val="0"/>
          <c:showPercent val="0"/>
          <c:showBubbleSize val="0"/>
        </c:dLbls>
        <c:gapWidth val="150"/>
        <c:axId val="1893436607"/>
        <c:axId val="1893438447"/>
      </c:barChart>
      <c:catAx>
        <c:axId val="189343660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93438447"/>
        <c:crosses val="autoZero"/>
        <c:auto val="1"/>
        <c:lblAlgn val="ctr"/>
        <c:lblOffset val="100"/>
        <c:noMultiLvlLbl val="0"/>
      </c:catAx>
      <c:valAx>
        <c:axId val="1893438447"/>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934366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Baseline Pricing</a:t>
            </a:r>
            <a:r>
              <a:rPr lang="en-GB" baseline="0"/>
              <a:t> Strategy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'3) Pricing_Strategy'!$D$70</c:f>
              <c:strCache>
                <c:ptCount val="1"/>
                <c:pt idx="0">
                  <c:v>Base Price</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Pricing_Strategy'!$D$71:$D$75</c:f>
              <c:numCache>
                <c:formatCode>General</c:formatCode>
                <c:ptCount val="5"/>
                <c:pt idx="0">
                  <c:v>37.43</c:v>
                </c:pt>
                <c:pt idx="1">
                  <c:v>41.56</c:v>
                </c:pt>
                <c:pt idx="2">
                  <c:v>28.44</c:v>
                </c:pt>
                <c:pt idx="3">
                  <c:v>34.729999999999997</c:v>
                </c:pt>
                <c:pt idx="4">
                  <c:v>57.89</c:v>
                </c:pt>
              </c:numCache>
            </c:numRef>
          </c:val>
          <c:smooth val="0"/>
          <c:extLst>
            <c:ext xmlns:c16="http://schemas.microsoft.com/office/drawing/2014/chart" uri="{C3380CC4-5D6E-409C-BE32-E72D297353CC}">
              <c16:uniqueId val="{00000000-5BA5-494F-A438-5643C38FBDDF}"/>
            </c:ext>
          </c:extLst>
        </c:ser>
        <c:ser>
          <c:idx val="1"/>
          <c:order val="1"/>
          <c:tx>
            <c:strRef>
              <c:f>'3) Pricing_Strategy'!$E$70</c:f>
              <c:strCache>
                <c:ptCount val="1"/>
                <c:pt idx="0">
                  <c:v>Final Recommended Price</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Pricing_Strategy'!$E$71:$E$75</c:f>
              <c:numCache>
                <c:formatCode>General</c:formatCode>
                <c:ptCount val="5"/>
                <c:pt idx="0">
                  <c:v>45</c:v>
                </c:pt>
                <c:pt idx="1">
                  <c:v>44</c:v>
                </c:pt>
                <c:pt idx="2">
                  <c:v>35</c:v>
                </c:pt>
                <c:pt idx="3">
                  <c:v>39</c:v>
                </c:pt>
                <c:pt idx="4">
                  <c:v>60</c:v>
                </c:pt>
              </c:numCache>
            </c:numRef>
          </c:val>
          <c:smooth val="0"/>
          <c:extLst>
            <c:ext xmlns:c16="http://schemas.microsoft.com/office/drawing/2014/chart" uri="{C3380CC4-5D6E-409C-BE32-E72D297353CC}">
              <c16:uniqueId val="{00000001-5BA5-494F-A438-5643C38FBDDF}"/>
            </c:ext>
          </c:extLst>
        </c:ser>
        <c:dLbls>
          <c:dLblPos val="ctr"/>
          <c:showLegendKey val="0"/>
          <c:showVal val="1"/>
          <c:showCatName val="0"/>
          <c:showSerName val="0"/>
          <c:showPercent val="0"/>
          <c:showBubbleSize val="0"/>
        </c:dLbls>
        <c:marker val="1"/>
        <c:smooth val="0"/>
        <c:axId val="2102520735"/>
        <c:axId val="2102522463"/>
      </c:lineChart>
      <c:catAx>
        <c:axId val="2102520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02522463"/>
        <c:crosses val="autoZero"/>
        <c:auto val="1"/>
        <c:lblAlgn val="ctr"/>
        <c:lblOffset val="100"/>
        <c:noMultiLvlLbl val="0"/>
      </c:catAx>
      <c:valAx>
        <c:axId val="2102522463"/>
        <c:scaling>
          <c:orientation val="minMax"/>
          <c:min val="25"/>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252073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[IceCreamSeller_pricingprojectFinal.xlsm]1) Pivot_DemandAnalysis!PivotTable1</c:name>
    <c:fmtId val="2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Revenue by Flavour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 Pivot_DemandAnalysis'!$B$3</c:f>
              <c:strCache>
                <c:ptCount val="1"/>
                <c:pt idx="0">
                  <c:v>Sum of Revenue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'1) Pivot_DemandAnalysis'!$A$4:$A$9</c:f>
              <c:strCache>
                <c:ptCount val="5"/>
                <c:pt idx="0">
                  <c:v>Chocolate</c:v>
                </c:pt>
                <c:pt idx="1">
                  <c:v>Kesar Pista</c:v>
                </c:pt>
                <c:pt idx="2">
                  <c:v>Mango</c:v>
                </c:pt>
                <c:pt idx="3">
                  <c:v>Strawberry</c:v>
                </c:pt>
                <c:pt idx="4">
                  <c:v>Vanilla</c:v>
                </c:pt>
              </c:strCache>
            </c:strRef>
          </c:cat>
          <c:val>
            <c:numRef>
              <c:f>'1) Pivot_DemandAnalysis'!$B$4:$B$9</c:f>
              <c:numCache>
                <c:formatCode>General</c:formatCode>
                <c:ptCount val="5"/>
                <c:pt idx="0">
                  <c:v>31648</c:v>
                </c:pt>
                <c:pt idx="1">
                  <c:v>14578</c:v>
                </c:pt>
                <c:pt idx="2">
                  <c:v>14577</c:v>
                </c:pt>
                <c:pt idx="3">
                  <c:v>11942</c:v>
                </c:pt>
                <c:pt idx="4">
                  <c:v>5304</c:v>
                </c:pt>
              </c:numCache>
            </c:numRef>
          </c:val>
          <c:extLst>
            <c:ext xmlns:c16="http://schemas.microsoft.com/office/drawing/2014/chart" uri="{C3380CC4-5D6E-409C-BE32-E72D297353CC}">
              <c16:uniqueId val="{00000000-8E30-C744-9B79-03488347E778}"/>
            </c:ext>
          </c:extLst>
        </c:ser>
        <c:ser>
          <c:idx val="1"/>
          <c:order val="1"/>
          <c:tx>
            <c:strRef>
              <c:f>'1) Pivot_DemandAnalysis'!$C$3</c:f>
              <c:strCache>
                <c:ptCount val="1"/>
                <c:pt idx="0">
                  <c:v>Sum of Year Column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'1) Pivot_DemandAnalysis'!$A$4:$A$9</c:f>
              <c:strCache>
                <c:ptCount val="5"/>
                <c:pt idx="0">
                  <c:v>Chocolate</c:v>
                </c:pt>
                <c:pt idx="1">
                  <c:v>Kesar Pista</c:v>
                </c:pt>
                <c:pt idx="2">
                  <c:v>Mango</c:v>
                </c:pt>
                <c:pt idx="3">
                  <c:v>Strawberry</c:v>
                </c:pt>
                <c:pt idx="4">
                  <c:v>Vanilla</c:v>
                </c:pt>
              </c:strCache>
            </c:strRef>
          </c:cat>
          <c:val>
            <c:numRef>
              <c:f>'1) Pivot_DemandAnalysis'!$C$4:$C$9</c:f>
              <c:numCache>
                <c:formatCode>General</c:formatCode>
                <c:ptCount val="5"/>
                <c:pt idx="0">
                  <c:v>26294</c:v>
                </c:pt>
                <c:pt idx="1">
                  <c:v>14158</c:v>
                </c:pt>
                <c:pt idx="2">
                  <c:v>20226</c:v>
                </c:pt>
                <c:pt idx="3">
                  <c:v>16181</c:v>
                </c:pt>
                <c:pt idx="4">
                  <c:v>16181</c:v>
                </c:pt>
              </c:numCache>
            </c:numRef>
          </c:val>
          <c:extLst>
            <c:ext xmlns:c16="http://schemas.microsoft.com/office/drawing/2014/chart" uri="{C3380CC4-5D6E-409C-BE32-E72D297353CC}">
              <c16:uniqueId val="{00000001-8E30-C744-9B79-03488347E778}"/>
            </c:ext>
          </c:extLst>
        </c:ser>
        <c:dLbls>
          <c:showLegendKey val="0"/>
          <c:showVal val="0"/>
          <c:showCatName val="0"/>
          <c:showSerName val="0"/>
          <c:showPercent val="0"/>
          <c:showBubbleSize val="0"/>
        </c:dLbls>
        <c:gapWidth val="100"/>
        <c:overlap val="-24"/>
        <c:axId val="1959836847"/>
        <c:axId val="684522368"/>
      </c:barChart>
      <c:catAx>
        <c:axId val="19598368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4522368"/>
        <c:crosses val="autoZero"/>
        <c:auto val="1"/>
        <c:lblAlgn val="ctr"/>
        <c:lblOffset val="100"/>
        <c:noMultiLvlLbl val="0"/>
      </c:catAx>
      <c:valAx>
        <c:axId val="6845223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9836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1800" b="1"/>
              <a:t>Profit Margin</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9A64-C046-B4B9-2DD18F61200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A64-C046-B4B9-2DD18F612009}"/>
              </c:ext>
            </c:extLst>
          </c:dPt>
          <c:dLbls>
            <c:dLbl>
              <c:idx val="0"/>
              <c:layout>
                <c:manualLayout>
                  <c:x val="-0.17620100372068886"/>
                  <c:y val="7.085958005249343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A64-C046-B4B9-2DD18F612009}"/>
                </c:ext>
              </c:extLst>
            </c:dLbl>
            <c:dLbl>
              <c:idx val="1"/>
              <c:layout>
                <c:manualLayout>
                  <c:x val="0.17982694470883448"/>
                  <c:y val="-7.9291026121734789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A64-C046-B4B9-2DD18F612009}"/>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'2) Cost Structure'!$B$16:$B$17</c:f>
              <c:strCache>
                <c:ptCount val="2"/>
                <c:pt idx="0">
                  <c:v>Total Cost</c:v>
                </c:pt>
                <c:pt idx="1">
                  <c:v>Total Profit</c:v>
                </c:pt>
              </c:strCache>
            </c:strRef>
          </c:cat>
          <c:val>
            <c:numRef>
              <c:f>'2) Cost Structure'!$C$16:$C$17</c:f>
              <c:numCache>
                <c:formatCode>General</c:formatCode>
                <c:ptCount val="2"/>
                <c:pt idx="0">
                  <c:v>163386</c:v>
                </c:pt>
                <c:pt idx="1">
                  <c:v>220662</c:v>
                </c:pt>
              </c:numCache>
            </c:numRef>
          </c:val>
          <c:extLst>
            <c:ext xmlns:c16="http://schemas.microsoft.com/office/drawing/2014/chart" uri="{C3380CC4-5D6E-409C-BE32-E72D297353CC}">
              <c16:uniqueId val="{00000000-9A64-C046-B4B9-2DD18F61200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Pricing</a:t>
            </a:r>
            <a:r>
              <a:rPr lang="en-GB" baseline="0"/>
              <a:t> Strategy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'3) Pricing_Strategy'!$D$70</c:f>
              <c:strCache>
                <c:ptCount val="1"/>
                <c:pt idx="0">
                  <c:v>Base Price</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Pricing_Strategy'!$D$71:$D$75</c:f>
              <c:numCache>
                <c:formatCode>General</c:formatCode>
                <c:ptCount val="5"/>
                <c:pt idx="0">
                  <c:v>37.43</c:v>
                </c:pt>
                <c:pt idx="1">
                  <c:v>41.56</c:v>
                </c:pt>
                <c:pt idx="2">
                  <c:v>28.44</c:v>
                </c:pt>
                <c:pt idx="3">
                  <c:v>34.729999999999997</c:v>
                </c:pt>
                <c:pt idx="4">
                  <c:v>57.89</c:v>
                </c:pt>
              </c:numCache>
            </c:numRef>
          </c:val>
          <c:smooth val="0"/>
          <c:extLst>
            <c:ext xmlns:c16="http://schemas.microsoft.com/office/drawing/2014/chart" uri="{C3380CC4-5D6E-409C-BE32-E72D297353CC}">
              <c16:uniqueId val="{00000000-D334-8841-8014-7D1F840DE495}"/>
            </c:ext>
          </c:extLst>
        </c:ser>
        <c:ser>
          <c:idx val="1"/>
          <c:order val="1"/>
          <c:tx>
            <c:strRef>
              <c:f>'3) Pricing_Strategy'!$E$70</c:f>
              <c:strCache>
                <c:ptCount val="1"/>
                <c:pt idx="0">
                  <c:v>Final Recommended Price</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'3) Pricing_Strategy'!$C$71:$C$75</c:f>
              <c:strCache>
                <c:ptCount val="5"/>
                <c:pt idx="0">
                  <c:v>Mango</c:v>
                </c:pt>
                <c:pt idx="1">
                  <c:v>Chocolate</c:v>
                </c:pt>
                <c:pt idx="2">
                  <c:v>Vanilla</c:v>
                </c:pt>
                <c:pt idx="3">
                  <c:v>Strawberry</c:v>
                </c:pt>
                <c:pt idx="4">
                  <c:v>Kesar Pista</c:v>
                </c:pt>
              </c:strCache>
            </c:strRef>
          </c:cat>
          <c:val>
            <c:numRef>
              <c:f>'3) Pricing_Strategy'!$E$71:$E$75</c:f>
              <c:numCache>
                <c:formatCode>General</c:formatCode>
                <c:ptCount val="5"/>
                <c:pt idx="0">
                  <c:v>45</c:v>
                </c:pt>
                <c:pt idx="1">
                  <c:v>44</c:v>
                </c:pt>
                <c:pt idx="2">
                  <c:v>35</c:v>
                </c:pt>
                <c:pt idx="3">
                  <c:v>39</c:v>
                </c:pt>
                <c:pt idx="4">
                  <c:v>60</c:v>
                </c:pt>
              </c:numCache>
            </c:numRef>
          </c:val>
          <c:smooth val="0"/>
          <c:extLst>
            <c:ext xmlns:c16="http://schemas.microsoft.com/office/drawing/2014/chart" uri="{C3380CC4-5D6E-409C-BE32-E72D297353CC}">
              <c16:uniqueId val="{00000001-D334-8841-8014-7D1F840DE495}"/>
            </c:ext>
          </c:extLst>
        </c:ser>
        <c:dLbls>
          <c:dLblPos val="ctr"/>
          <c:showLegendKey val="0"/>
          <c:showVal val="1"/>
          <c:showCatName val="0"/>
          <c:showSerName val="0"/>
          <c:showPercent val="0"/>
          <c:showBubbleSize val="0"/>
        </c:dLbls>
        <c:marker val="1"/>
        <c:smooth val="0"/>
        <c:axId val="2102520735"/>
        <c:axId val="2102522463"/>
      </c:lineChart>
      <c:catAx>
        <c:axId val="2102520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02522463"/>
        <c:crosses val="autoZero"/>
        <c:auto val="1"/>
        <c:lblAlgn val="ctr"/>
        <c:lblOffset val="100"/>
        <c:noMultiLvlLbl val="0"/>
      </c:catAx>
      <c:valAx>
        <c:axId val="2102522463"/>
        <c:scaling>
          <c:orientation val="minMax"/>
          <c:min val="25"/>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252073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Seasonal Demand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'4)Demand Forecasting'!$B$22</c:f>
              <c:strCache>
                <c:ptCount val="1"/>
                <c:pt idx="0">
                  <c:v>Summer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Forecasting'!$B$23:$B$25</c:f>
              <c:numCache>
                <c:formatCode>General</c:formatCode>
                <c:ptCount val="3"/>
                <c:pt idx="0">
                  <c:v>2445</c:v>
                </c:pt>
                <c:pt idx="1">
                  <c:v>2857</c:v>
                </c:pt>
                <c:pt idx="2">
                  <c:v>3269</c:v>
                </c:pt>
              </c:numCache>
            </c:numRef>
          </c:val>
          <c:smooth val="0"/>
          <c:extLst>
            <c:ext xmlns:c16="http://schemas.microsoft.com/office/drawing/2014/chart" uri="{C3380CC4-5D6E-409C-BE32-E72D297353CC}">
              <c16:uniqueId val="{00000000-D255-9A47-BB0D-697010815014}"/>
            </c:ext>
          </c:extLst>
        </c:ser>
        <c:ser>
          <c:idx val="1"/>
          <c:order val="1"/>
          <c:tx>
            <c:strRef>
              <c:f>'4)Demand Forecasting'!$C$22</c:f>
              <c:strCache>
                <c:ptCount val="1"/>
                <c:pt idx="0">
                  <c:v>Monsoon</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Forecasting'!$C$23:$C$25</c:f>
              <c:numCache>
                <c:formatCode>General</c:formatCode>
                <c:ptCount val="3"/>
                <c:pt idx="0">
                  <c:v>1082</c:v>
                </c:pt>
                <c:pt idx="1">
                  <c:v>1135</c:v>
                </c:pt>
                <c:pt idx="2">
                  <c:v>1188</c:v>
                </c:pt>
              </c:numCache>
            </c:numRef>
          </c:val>
          <c:smooth val="0"/>
          <c:extLst>
            <c:ext xmlns:c16="http://schemas.microsoft.com/office/drawing/2014/chart" uri="{C3380CC4-5D6E-409C-BE32-E72D297353CC}">
              <c16:uniqueId val="{00000001-D255-9A47-BB0D-697010815014}"/>
            </c:ext>
          </c:extLst>
        </c:ser>
        <c:ser>
          <c:idx val="2"/>
          <c:order val="2"/>
          <c:tx>
            <c:strRef>
              <c:f>'4)Demand Forecasting'!$D$22</c:f>
              <c:strCache>
                <c:ptCount val="1"/>
                <c:pt idx="0">
                  <c:v>Winter</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'4)Demand Forecasting'!$A$23:$A$25</c:f>
              <c:strCache>
                <c:ptCount val="3"/>
                <c:pt idx="0">
                  <c:v>2022</c:v>
                </c:pt>
                <c:pt idx="1">
                  <c:v>2023</c:v>
                </c:pt>
                <c:pt idx="2">
                  <c:v>2024 (Forecast)</c:v>
                </c:pt>
              </c:strCache>
            </c:strRef>
          </c:cat>
          <c:val>
            <c:numRef>
              <c:f>'4)Demand Forecasting'!$D$23:$D$25</c:f>
              <c:numCache>
                <c:formatCode>General</c:formatCode>
                <c:ptCount val="3"/>
                <c:pt idx="0">
                  <c:v>795</c:v>
                </c:pt>
                <c:pt idx="1">
                  <c:v>1229</c:v>
                </c:pt>
                <c:pt idx="2">
                  <c:v>1663</c:v>
                </c:pt>
              </c:numCache>
            </c:numRef>
          </c:val>
          <c:smooth val="0"/>
          <c:extLst>
            <c:ext xmlns:c16="http://schemas.microsoft.com/office/drawing/2014/chart" uri="{C3380CC4-5D6E-409C-BE32-E72D297353CC}">
              <c16:uniqueId val="{00000002-D255-9A47-BB0D-697010815014}"/>
            </c:ext>
          </c:extLst>
        </c:ser>
        <c:dLbls>
          <c:showLegendKey val="0"/>
          <c:showVal val="0"/>
          <c:showCatName val="0"/>
          <c:showSerName val="0"/>
          <c:showPercent val="0"/>
          <c:showBubbleSize val="0"/>
        </c:dLbls>
        <c:smooth val="0"/>
        <c:axId val="1141578639"/>
        <c:axId val="1141580351"/>
      </c:lineChart>
      <c:catAx>
        <c:axId val="11415786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80351"/>
        <c:crosses val="autoZero"/>
        <c:auto val="1"/>
        <c:lblAlgn val="ctr"/>
        <c:lblOffset val="100"/>
        <c:noMultiLvlLbl val="0"/>
      </c:catAx>
      <c:valAx>
        <c:axId val="11415803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1578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Flavour Demand Forecast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cked"/>
        <c:varyColors val="0"/>
        <c:ser>
          <c:idx val="0"/>
          <c:order val="0"/>
          <c:tx>
            <c:strRef>
              <c:f>'4)Demand Forecasting'!$A$36</c:f>
              <c:strCache>
                <c:ptCount val="1"/>
                <c:pt idx="0">
                  <c:v>Chocolate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Forecasting'!$B$36:$C$36</c:f>
              <c:numCache>
                <c:formatCode>General</c:formatCode>
                <c:ptCount val="2"/>
                <c:pt idx="0">
                  <c:v>1475</c:v>
                </c:pt>
                <c:pt idx="1">
                  <c:v>1747</c:v>
                </c:pt>
              </c:numCache>
            </c:numRef>
          </c:val>
          <c:smooth val="0"/>
          <c:extLst>
            <c:ext xmlns:c16="http://schemas.microsoft.com/office/drawing/2014/chart" uri="{C3380CC4-5D6E-409C-BE32-E72D297353CC}">
              <c16:uniqueId val="{00000000-123D-0346-A7EC-11FCCA66D8A2}"/>
            </c:ext>
          </c:extLst>
        </c:ser>
        <c:ser>
          <c:idx val="1"/>
          <c:order val="1"/>
          <c:tx>
            <c:strRef>
              <c:f>'4)Demand Forecasting'!$A$37</c:f>
              <c:strCache>
                <c:ptCount val="1"/>
                <c:pt idx="0">
                  <c:v>Kesar Pista</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Forecasting'!$B$37:$C$37</c:f>
              <c:numCache>
                <c:formatCode>General</c:formatCode>
                <c:ptCount val="2"/>
                <c:pt idx="0">
                  <c:v>527</c:v>
                </c:pt>
                <c:pt idx="1">
                  <c:v>626</c:v>
                </c:pt>
              </c:numCache>
            </c:numRef>
          </c:val>
          <c:smooth val="0"/>
          <c:extLst>
            <c:ext xmlns:c16="http://schemas.microsoft.com/office/drawing/2014/chart" uri="{C3380CC4-5D6E-409C-BE32-E72D297353CC}">
              <c16:uniqueId val="{00000001-123D-0346-A7EC-11FCCA66D8A2}"/>
            </c:ext>
          </c:extLst>
        </c:ser>
        <c:ser>
          <c:idx val="2"/>
          <c:order val="2"/>
          <c:tx>
            <c:strRef>
              <c:f>'4)Demand Forecasting'!$A$38</c:f>
              <c:strCache>
                <c:ptCount val="1"/>
                <c:pt idx="0">
                  <c:v>Mango</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Forecasting'!$B$38:$C$38</c:f>
              <c:numCache>
                <c:formatCode>General</c:formatCode>
                <c:ptCount val="2"/>
                <c:pt idx="0">
                  <c:v>1855</c:v>
                </c:pt>
                <c:pt idx="1">
                  <c:v>2183</c:v>
                </c:pt>
              </c:numCache>
            </c:numRef>
          </c:val>
          <c:smooth val="0"/>
          <c:extLst>
            <c:ext xmlns:c16="http://schemas.microsoft.com/office/drawing/2014/chart" uri="{C3380CC4-5D6E-409C-BE32-E72D297353CC}">
              <c16:uniqueId val="{00000002-123D-0346-A7EC-11FCCA66D8A2}"/>
            </c:ext>
          </c:extLst>
        </c:ser>
        <c:ser>
          <c:idx val="3"/>
          <c:order val="3"/>
          <c:tx>
            <c:strRef>
              <c:f>'4)Demand Forecasting'!$A$39</c:f>
              <c:strCache>
                <c:ptCount val="1"/>
                <c:pt idx="0">
                  <c:v>Strawberry</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Forecasting'!$B$39:$C$39</c:f>
              <c:numCache>
                <c:formatCode>General</c:formatCode>
                <c:ptCount val="2"/>
                <c:pt idx="0">
                  <c:v>709</c:v>
                </c:pt>
                <c:pt idx="1">
                  <c:v>785</c:v>
                </c:pt>
              </c:numCache>
            </c:numRef>
          </c:val>
          <c:smooth val="0"/>
          <c:extLst>
            <c:ext xmlns:c16="http://schemas.microsoft.com/office/drawing/2014/chart" uri="{C3380CC4-5D6E-409C-BE32-E72D297353CC}">
              <c16:uniqueId val="{00000003-123D-0346-A7EC-11FCCA66D8A2}"/>
            </c:ext>
          </c:extLst>
        </c:ser>
        <c:ser>
          <c:idx val="4"/>
          <c:order val="4"/>
          <c:tx>
            <c:strRef>
              <c:f>'4)Demand Forecasting'!$A$40</c:f>
              <c:strCache>
                <c:ptCount val="1"/>
                <c:pt idx="0">
                  <c:v>Vanilla</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'4)Demand Forecasting'!$B$35:$C$35</c:f>
              <c:strCache>
                <c:ptCount val="2"/>
                <c:pt idx="0">
                  <c:v>2023 Actual</c:v>
                </c:pt>
                <c:pt idx="1">
                  <c:v>2024 Forecast</c:v>
                </c:pt>
              </c:strCache>
            </c:strRef>
          </c:cat>
          <c:val>
            <c:numRef>
              <c:f>'4)Demand Forecasting'!$B$40:$C$40</c:f>
              <c:numCache>
                <c:formatCode>General</c:formatCode>
                <c:ptCount val="2"/>
                <c:pt idx="0">
                  <c:v>655</c:v>
                </c:pt>
                <c:pt idx="1">
                  <c:v>779</c:v>
                </c:pt>
              </c:numCache>
            </c:numRef>
          </c:val>
          <c:smooth val="0"/>
          <c:extLst>
            <c:ext xmlns:c16="http://schemas.microsoft.com/office/drawing/2014/chart" uri="{C3380CC4-5D6E-409C-BE32-E72D297353CC}">
              <c16:uniqueId val="{00000004-123D-0346-A7EC-11FCCA66D8A2}"/>
            </c:ext>
          </c:extLst>
        </c:ser>
        <c:dLbls>
          <c:showLegendKey val="0"/>
          <c:showVal val="0"/>
          <c:showCatName val="0"/>
          <c:showSerName val="0"/>
          <c:showPercent val="0"/>
          <c:showBubbleSize val="0"/>
        </c:dLbls>
        <c:smooth val="0"/>
        <c:axId val="973925551"/>
        <c:axId val="973571455"/>
      </c:lineChart>
      <c:catAx>
        <c:axId val="9739255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3571455"/>
        <c:crosses val="autoZero"/>
        <c:auto val="1"/>
        <c:lblAlgn val="ctr"/>
        <c:lblOffset val="100"/>
        <c:noMultiLvlLbl val="0"/>
      </c:catAx>
      <c:valAx>
        <c:axId val="9735714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3925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104742</xdr:colOff>
      <xdr:row>9</xdr:row>
      <xdr:rowOff>13092</xdr:rowOff>
    </xdr:from>
    <xdr:to>
      <xdr:col>9</xdr:col>
      <xdr:colOff>235669</xdr:colOff>
      <xdr:row>19</xdr:row>
      <xdr:rowOff>60970</xdr:rowOff>
    </xdr:to>
    <xdr:graphicFrame macro="">
      <xdr:nvGraphicFramePr>
        <xdr:cNvPr id="4" name="Chart 3">
          <a:extLst>
            <a:ext uri="{FF2B5EF4-FFF2-40B4-BE49-F238E27FC236}">
              <a16:creationId xmlns:a16="http://schemas.microsoft.com/office/drawing/2014/main" id="{7020E18A-77A9-EE4E-A249-3270BA51D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62254</xdr:rowOff>
    </xdr:from>
    <xdr:to>
      <xdr:col>5</xdr:col>
      <xdr:colOff>222577</xdr:colOff>
      <xdr:row>30</xdr:row>
      <xdr:rowOff>39277</xdr:rowOff>
    </xdr:to>
    <xdr:graphicFrame macro="">
      <xdr:nvGraphicFramePr>
        <xdr:cNvPr id="6" name="Chart 5">
          <a:extLst>
            <a:ext uri="{FF2B5EF4-FFF2-40B4-BE49-F238E27FC236}">
              <a16:creationId xmlns:a16="http://schemas.microsoft.com/office/drawing/2014/main" id="{5F651E00-407B-A146-85B1-98344BE78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103972</xdr:colOff>
      <xdr:row>19</xdr:row>
      <xdr:rowOff>52370</xdr:rowOff>
    </xdr:from>
    <xdr:to>
      <xdr:col>9</xdr:col>
      <xdr:colOff>209484</xdr:colOff>
      <xdr:row>30</xdr:row>
      <xdr:rowOff>39277</xdr:rowOff>
    </xdr:to>
    <xdr:graphicFrame macro="">
      <xdr:nvGraphicFramePr>
        <xdr:cNvPr id="10" name="Chart 9">
          <a:extLst>
            <a:ext uri="{FF2B5EF4-FFF2-40B4-BE49-F238E27FC236}">
              <a16:creationId xmlns:a16="http://schemas.microsoft.com/office/drawing/2014/main" id="{E440A39D-EBB3-AF4F-88F1-DD238C10B0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52371</xdr:colOff>
      <xdr:row>9</xdr:row>
      <xdr:rowOff>13091</xdr:rowOff>
    </xdr:from>
    <xdr:to>
      <xdr:col>5</xdr:col>
      <xdr:colOff>104743</xdr:colOff>
      <xdr:row>19</xdr:row>
      <xdr:rowOff>78557</xdr:rowOff>
    </xdr:to>
    <xdr:graphicFrame macro="">
      <xdr:nvGraphicFramePr>
        <xdr:cNvPr id="12" name="Chart 11">
          <a:extLst>
            <a:ext uri="{FF2B5EF4-FFF2-40B4-BE49-F238E27FC236}">
              <a16:creationId xmlns:a16="http://schemas.microsoft.com/office/drawing/2014/main" id="{835FF183-BEDB-6840-8154-7A78E33880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230172</xdr:colOff>
      <xdr:row>9</xdr:row>
      <xdr:rowOff>3275</xdr:rowOff>
    </xdr:from>
    <xdr:to>
      <xdr:col>10</xdr:col>
      <xdr:colOff>837938</xdr:colOff>
      <xdr:row>14</xdr:row>
      <xdr:rowOff>117835</xdr:rowOff>
    </xdr:to>
    <mc:AlternateContent xmlns:mc="http://schemas.openxmlformats.org/markup-compatibility/2006" xmlns:a14="http://schemas.microsoft.com/office/drawing/2010/main">
      <mc:Choice Requires="a14">
        <xdr:graphicFrame macro="">
          <xdr:nvGraphicFramePr>
            <xdr:cNvPr id="13" name="Flavour">
              <a:extLst>
                <a:ext uri="{FF2B5EF4-FFF2-40B4-BE49-F238E27FC236}">
                  <a16:creationId xmlns:a16="http://schemas.microsoft.com/office/drawing/2014/main" id="{0202AD5B-02B3-DEB8-3F03-33CA3D1A113F}"/>
                </a:ext>
              </a:extLst>
            </xdr:cNvPr>
            <xdr:cNvGraphicFramePr/>
          </xdr:nvGraphicFramePr>
          <xdr:xfrm>
            <a:off x="0" y="0"/>
            <a:ext cx="0" cy="0"/>
          </xdr:xfrm>
          <a:graphic>
            <a:graphicData uri="http://schemas.microsoft.com/office/drawing/2010/slicer">
              <sle:slicer xmlns:sle="http://schemas.microsoft.com/office/drawing/2010/slicer" name="Flavour"/>
            </a:graphicData>
          </a:graphic>
        </xdr:graphicFrame>
      </mc:Choice>
      <mc:Fallback xmlns="">
        <xdr:sp macro="" textlink="">
          <xdr:nvSpPr>
            <xdr:cNvPr id="0" name=""/>
            <xdr:cNvSpPr>
              <a:spLocks noTextEdit="1"/>
            </xdr:cNvSpPr>
          </xdr:nvSpPr>
          <xdr:spPr>
            <a:xfrm>
              <a:off x="7797801" y="2085028"/>
              <a:ext cx="1511168" cy="18035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241430</xdr:colOff>
      <xdr:row>20</xdr:row>
      <xdr:rowOff>39278</xdr:rowOff>
    </xdr:from>
    <xdr:to>
      <xdr:col>11</xdr:col>
      <xdr:colOff>13092</xdr:colOff>
      <xdr:row>26</xdr:row>
      <xdr:rowOff>52371</xdr:rowOff>
    </xdr:to>
    <mc:AlternateContent xmlns:mc="http://schemas.openxmlformats.org/markup-compatibility/2006" xmlns:a14="http://schemas.microsoft.com/office/drawing/2010/main">
      <mc:Choice Requires="a14">
        <xdr:graphicFrame macro="">
          <xdr:nvGraphicFramePr>
            <xdr:cNvPr id="14" name="Location">
              <a:extLst>
                <a:ext uri="{FF2B5EF4-FFF2-40B4-BE49-F238E27FC236}">
                  <a16:creationId xmlns:a16="http://schemas.microsoft.com/office/drawing/2014/main" id="{5014CA4A-0435-54D7-5B63-554D13F53A2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7809059" y="4425360"/>
              <a:ext cx="1499909" cy="12700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278877</xdr:colOff>
      <xdr:row>14</xdr:row>
      <xdr:rowOff>130535</xdr:rowOff>
    </xdr:from>
    <xdr:to>
      <xdr:col>10</xdr:col>
      <xdr:colOff>877217</xdr:colOff>
      <xdr:row>20</xdr:row>
      <xdr:rowOff>39279</xdr:rowOff>
    </xdr:to>
    <mc:AlternateContent xmlns:mc="http://schemas.openxmlformats.org/markup-compatibility/2006" xmlns:a14="http://schemas.microsoft.com/office/drawing/2010/main">
      <mc:Choice Requires="a14">
        <xdr:graphicFrame macro="">
          <xdr:nvGraphicFramePr>
            <xdr:cNvPr id="15" name="Season">
              <a:extLst>
                <a:ext uri="{FF2B5EF4-FFF2-40B4-BE49-F238E27FC236}">
                  <a16:creationId xmlns:a16="http://schemas.microsoft.com/office/drawing/2014/main" id="{DC11536D-7843-D36B-9ACC-F917A7EF07A6}"/>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7846506" y="3259710"/>
              <a:ext cx="1423185" cy="11656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615360</xdr:colOff>
      <xdr:row>26</xdr:row>
      <xdr:rowOff>117834</xdr:rowOff>
    </xdr:from>
    <xdr:to>
      <xdr:col>10</xdr:col>
      <xdr:colOff>445154</xdr:colOff>
      <xdr:row>29</xdr:row>
      <xdr:rowOff>104742</xdr:rowOff>
    </xdr:to>
    <xdr:sp macro="[1]!RefreshData" textlink="">
      <xdr:nvSpPr>
        <xdr:cNvPr id="2" name="Rectangle 1">
          <a:extLst>
            <a:ext uri="{FF2B5EF4-FFF2-40B4-BE49-F238E27FC236}">
              <a16:creationId xmlns:a16="http://schemas.microsoft.com/office/drawing/2014/main" id="{019962E2-20D2-54EA-A16B-C13619E58D34}"/>
            </a:ext>
          </a:extLst>
        </xdr:cNvPr>
        <xdr:cNvSpPr/>
      </xdr:nvSpPr>
      <xdr:spPr>
        <a:xfrm>
          <a:off x="8182989" y="5760824"/>
          <a:ext cx="654639" cy="6153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510619</xdr:colOff>
      <xdr:row>27</xdr:row>
      <xdr:rowOff>39279</xdr:rowOff>
    </xdr:from>
    <xdr:to>
      <xdr:col>10</xdr:col>
      <xdr:colOff>824846</xdr:colOff>
      <xdr:row>29</xdr:row>
      <xdr:rowOff>0</xdr:rowOff>
    </xdr:to>
    <xdr:sp macro="[1]!CompareScenarios" textlink="">
      <xdr:nvSpPr>
        <xdr:cNvPr id="5" name="Oval 4">
          <a:extLst>
            <a:ext uri="{FF2B5EF4-FFF2-40B4-BE49-F238E27FC236}">
              <a16:creationId xmlns:a16="http://schemas.microsoft.com/office/drawing/2014/main" id="{0384648D-0FBA-B767-4EAC-428CDD2AECC5}"/>
            </a:ext>
          </a:extLst>
        </xdr:cNvPr>
        <xdr:cNvSpPr/>
      </xdr:nvSpPr>
      <xdr:spPr>
        <a:xfrm>
          <a:off x="8903093" y="5891753"/>
          <a:ext cx="314227" cy="37969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389465</xdr:colOff>
      <xdr:row>2</xdr:row>
      <xdr:rowOff>127000</xdr:rowOff>
    </xdr:from>
    <xdr:to>
      <xdr:col>12</xdr:col>
      <xdr:colOff>215900</xdr:colOff>
      <xdr:row>8</xdr:row>
      <xdr:rowOff>169333</xdr:rowOff>
    </xdr:to>
    <xdr:sp macro="" textlink="">
      <xdr:nvSpPr>
        <xdr:cNvPr id="2" name="TextBox 1">
          <a:extLst>
            <a:ext uri="{FF2B5EF4-FFF2-40B4-BE49-F238E27FC236}">
              <a16:creationId xmlns:a16="http://schemas.microsoft.com/office/drawing/2014/main" id="{D0AC4C1F-7AF2-D23D-E13D-67FC655C74B0}"/>
            </a:ext>
          </a:extLst>
        </xdr:cNvPr>
        <xdr:cNvSpPr txBox="1"/>
      </xdr:nvSpPr>
      <xdr:spPr>
        <a:xfrm>
          <a:off x="4339165" y="533400"/>
          <a:ext cx="2976035" cy="12615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Mango #1 — 3,382 units, highest revenue</a:t>
          </a:r>
        </a:p>
        <a:p>
          <a:r>
            <a:rPr lang="en-IN"/>
            <a:t>Chocolate is strongest year-round performer</a:t>
          </a:r>
        </a:p>
        <a:p>
          <a:r>
            <a:rPr lang="en-IN"/>
            <a:t>Kesar Pista — fewest units, highest price (₹57+)</a:t>
          </a:r>
        </a:p>
        <a:p>
          <a:r>
            <a:rPr lang="en-IN" b="1"/>
            <a:t>BUSINESS IMPLICATION</a:t>
          </a:r>
          <a:endParaRPr lang="en-IN"/>
        </a:p>
        <a:p>
          <a:r>
            <a:rPr lang="en-IN"/>
            <a:t>Prioritise Mango in Summer. Never discount Kesar Pista.</a:t>
          </a:r>
        </a:p>
        <a:p>
          <a:endParaRPr lang="en-IN"/>
        </a:p>
      </xdr:txBody>
    </xdr:sp>
    <xdr:clientData/>
  </xdr:twoCellAnchor>
  <xdr:twoCellAnchor>
    <xdr:from>
      <xdr:col>4</xdr:col>
      <xdr:colOff>241301</xdr:colOff>
      <xdr:row>11</xdr:row>
      <xdr:rowOff>0</xdr:rowOff>
    </xdr:from>
    <xdr:to>
      <xdr:col>12</xdr:col>
      <xdr:colOff>254000</xdr:colOff>
      <xdr:row>17</xdr:row>
      <xdr:rowOff>50800</xdr:rowOff>
    </xdr:to>
    <xdr:sp macro="" textlink="">
      <xdr:nvSpPr>
        <xdr:cNvPr id="3" name="TextBox 2">
          <a:extLst>
            <a:ext uri="{FF2B5EF4-FFF2-40B4-BE49-F238E27FC236}">
              <a16:creationId xmlns:a16="http://schemas.microsoft.com/office/drawing/2014/main" id="{684F6328-BCBF-A61E-D7E7-EDDB58468C49}"/>
            </a:ext>
          </a:extLst>
        </xdr:cNvPr>
        <xdr:cNvSpPr txBox="1"/>
      </xdr:nvSpPr>
      <xdr:spPr>
        <a:xfrm>
          <a:off x="4745568" y="2235200"/>
          <a:ext cx="3128432" cy="12700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Connaught Place #1 — highest units &amp; revenue</a:t>
          </a:r>
        </a:p>
        <a:p>
          <a:r>
            <a:rPr lang="en-IN"/>
            <a:t>Lajpat Nagar #2 — solid, 29% of total revenue</a:t>
          </a:r>
        </a:p>
        <a:p>
          <a:r>
            <a:rPr lang="en-IN"/>
            <a:t>Karol Bagh #3 — lowest volume, growth opportunity</a:t>
          </a:r>
        </a:p>
        <a:p>
          <a:r>
            <a:rPr lang="en-IN" b="1"/>
            <a:t>BUSINESS IMPLICATION</a:t>
          </a:r>
          <a:endParaRPr lang="en-IN"/>
        </a:p>
        <a:p>
          <a:r>
            <a:rPr lang="en-IN"/>
            <a:t>Premium pricing viable at CP. Scale KB with promotions.</a:t>
          </a:r>
        </a:p>
      </xdr:txBody>
    </xdr:sp>
    <xdr:clientData/>
  </xdr:twoCellAnchor>
  <xdr:twoCellAnchor>
    <xdr:from>
      <xdr:col>4</xdr:col>
      <xdr:colOff>321734</xdr:colOff>
      <xdr:row>22</xdr:row>
      <xdr:rowOff>4234</xdr:rowOff>
    </xdr:from>
    <xdr:to>
      <xdr:col>12</xdr:col>
      <xdr:colOff>16933</xdr:colOff>
      <xdr:row>27</xdr:row>
      <xdr:rowOff>135467</xdr:rowOff>
    </xdr:to>
    <xdr:sp macro="" textlink="">
      <xdr:nvSpPr>
        <xdr:cNvPr id="4" name="TextBox 3">
          <a:extLst>
            <a:ext uri="{FF2B5EF4-FFF2-40B4-BE49-F238E27FC236}">
              <a16:creationId xmlns:a16="http://schemas.microsoft.com/office/drawing/2014/main" id="{0EBB2408-C6E8-B5C2-C7D9-C41598D282B4}"/>
            </a:ext>
          </a:extLst>
        </xdr:cNvPr>
        <xdr:cNvSpPr txBox="1"/>
      </xdr:nvSpPr>
      <xdr:spPr>
        <a:xfrm>
          <a:off x="4826001" y="4474634"/>
          <a:ext cx="2810932" cy="11472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Summer #1 — 5,302 units, 55% of total sales (Highest Demand)</a:t>
          </a:r>
        </a:p>
        <a:p>
          <a:r>
            <a:rPr lang="en-IN"/>
            <a:t>Monsoon drops sharply — lowest avg units per day</a:t>
          </a:r>
        </a:p>
        <a:p>
          <a:r>
            <a:rPr lang="en-IN"/>
            <a:t>Winter weak but festival days create spikes</a:t>
          </a:r>
        </a:p>
        <a:p>
          <a:r>
            <a:rPr lang="en-IN" b="1"/>
            <a:t>BUSINESS IMPLICATION</a:t>
          </a:r>
          <a:endParaRPr lang="en-IN"/>
        </a:p>
        <a:p>
          <a:r>
            <a:rPr lang="en-IN"/>
            <a:t>Maximise Summer revenue. Bundle offers in Monsoon &amp; Winter.</a:t>
          </a:r>
        </a:p>
        <a:p>
          <a:endParaRPr lang="en-GB" sz="1100"/>
        </a:p>
      </xdr:txBody>
    </xdr:sp>
    <xdr:clientData/>
  </xdr:twoCellAnchor>
  <xdr:twoCellAnchor>
    <xdr:from>
      <xdr:col>5</xdr:col>
      <xdr:colOff>4234</xdr:colOff>
      <xdr:row>31</xdr:row>
      <xdr:rowOff>165100</xdr:rowOff>
    </xdr:from>
    <xdr:to>
      <xdr:col>11</xdr:col>
      <xdr:colOff>287867</xdr:colOff>
      <xdr:row>37</xdr:row>
      <xdr:rowOff>101600</xdr:rowOff>
    </xdr:to>
    <xdr:sp macro="" textlink="">
      <xdr:nvSpPr>
        <xdr:cNvPr id="6" name="TextBox 5">
          <a:extLst>
            <a:ext uri="{FF2B5EF4-FFF2-40B4-BE49-F238E27FC236}">
              <a16:creationId xmlns:a16="http://schemas.microsoft.com/office/drawing/2014/main" id="{E33650D1-E67E-AD55-E3A3-729980D8397B}"/>
            </a:ext>
          </a:extLst>
        </xdr:cNvPr>
        <xdr:cNvSpPr txBox="1"/>
      </xdr:nvSpPr>
      <xdr:spPr>
        <a:xfrm>
          <a:off x="4897967" y="6464300"/>
          <a:ext cx="2620433" cy="11557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Weekends outsell Weekdays — 5,175 vs 4,368 units</a:t>
          </a:r>
        </a:p>
        <a:p>
          <a:r>
            <a:rPr lang="en-IN"/>
            <a:t>Weekend revenue 27% higher than Weekday</a:t>
          </a:r>
        </a:p>
        <a:p>
          <a:r>
            <a:rPr lang="en-IN"/>
            <a:t>Customers spend more per visit on weekends</a:t>
          </a:r>
        </a:p>
        <a:p>
          <a:r>
            <a:rPr lang="en-IN" b="1"/>
            <a:t>BUSINESS IMPLICATION</a:t>
          </a:r>
          <a:endParaRPr lang="en-IN"/>
        </a:p>
        <a:p>
          <a:r>
            <a:rPr lang="en-IN"/>
            <a:t>Staff up and stock higher on weekends.</a:t>
          </a:r>
        </a:p>
        <a:p>
          <a:endParaRPr lang="en-GB" sz="1100"/>
        </a:p>
      </xdr:txBody>
    </xdr:sp>
    <xdr:clientData/>
  </xdr:twoCellAnchor>
  <xdr:twoCellAnchor>
    <xdr:from>
      <xdr:col>5</xdr:col>
      <xdr:colOff>4235</xdr:colOff>
      <xdr:row>42</xdr:row>
      <xdr:rowOff>160866</xdr:rowOff>
    </xdr:from>
    <xdr:to>
      <xdr:col>11</xdr:col>
      <xdr:colOff>355600</xdr:colOff>
      <xdr:row>48</xdr:row>
      <xdr:rowOff>135466</xdr:rowOff>
    </xdr:to>
    <xdr:sp macro="" textlink="">
      <xdr:nvSpPr>
        <xdr:cNvPr id="7" name="TextBox 6">
          <a:extLst>
            <a:ext uri="{FF2B5EF4-FFF2-40B4-BE49-F238E27FC236}">
              <a16:creationId xmlns:a16="http://schemas.microsoft.com/office/drawing/2014/main" id="{91093713-F8B4-1DA5-06EB-57EDA5C4F028}"/>
            </a:ext>
          </a:extLst>
        </xdr:cNvPr>
        <xdr:cNvSpPr txBox="1"/>
      </xdr:nvSpPr>
      <xdr:spPr>
        <a:xfrm>
          <a:off x="4897968" y="8729133"/>
          <a:ext cx="2688165" cy="11938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KEY INSIGHTS</a:t>
          </a:r>
          <a:endParaRPr lang="en-IN"/>
        </a:p>
        <a:p>
          <a:r>
            <a:rPr lang="en-IN"/>
            <a:t>Mango peaks in Summer — 2,241 units, highest single cell</a:t>
          </a:r>
        </a:p>
        <a:p>
          <a:r>
            <a:rPr lang="en-IN"/>
            <a:t>Chocolate most consistent — stable across all 3 seasons</a:t>
          </a:r>
        </a:p>
        <a:p>
          <a:r>
            <a:rPr lang="en-IN"/>
            <a:t>Kesar Pista &amp; Strawberry weakest in Winter — need push strategy</a:t>
          </a:r>
        </a:p>
        <a:p>
          <a:r>
            <a:rPr lang="en-IN" b="1"/>
            <a:t>BUSINESS IMPLICATION</a:t>
          </a:r>
          <a:endParaRPr lang="en-IN"/>
        </a:p>
        <a:p>
          <a:r>
            <a:rPr lang="en-IN"/>
            <a:t>Raise Mango &amp; Strawberry prices in Summer. Discount in Winter.</a:t>
          </a:r>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825500</xdr:colOff>
      <xdr:row>14</xdr:row>
      <xdr:rowOff>139700</xdr:rowOff>
    </xdr:from>
    <xdr:to>
      <xdr:col>8</xdr:col>
      <xdr:colOff>812800</xdr:colOff>
      <xdr:row>30</xdr:row>
      <xdr:rowOff>88900</xdr:rowOff>
    </xdr:to>
    <xdr:graphicFrame macro="">
      <xdr:nvGraphicFramePr>
        <xdr:cNvPr id="3" name="Chart 2">
          <a:extLst>
            <a:ext uri="{FF2B5EF4-FFF2-40B4-BE49-F238E27FC236}">
              <a16:creationId xmlns:a16="http://schemas.microsoft.com/office/drawing/2014/main" id="{23921A3E-F68C-3C7A-44A1-86D3B4D548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20</xdr:row>
      <xdr:rowOff>165100</xdr:rowOff>
    </xdr:from>
    <xdr:to>
      <xdr:col>3</xdr:col>
      <xdr:colOff>50800</xdr:colOff>
      <xdr:row>28</xdr:row>
      <xdr:rowOff>63500</xdr:rowOff>
    </xdr:to>
    <xdr:sp macro="" textlink="">
      <xdr:nvSpPr>
        <xdr:cNvPr id="4" name="TextBox 3">
          <a:extLst>
            <a:ext uri="{FF2B5EF4-FFF2-40B4-BE49-F238E27FC236}">
              <a16:creationId xmlns:a16="http://schemas.microsoft.com/office/drawing/2014/main" id="{F9B2B4DF-98A1-059C-ECCE-A3EF981AB9B2}"/>
            </a:ext>
          </a:extLst>
        </xdr:cNvPr>
        <xdr:cNvSpPr txBox="1"/>
      </xdr:nvSpPr>
      <xdr:spPr>
        <a:xfrm>
          <a:off x="914400" y="4279900"/>
          <a:ext cx="2908300" cy="1524000"/>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800" b="0" i="1" cap="none" spc="0">
              <a:ln>
                <a:noFill/>
              </a:ln>
              <a:solidFill>
                <a:schemeClr val="tx1"/>
              </a:solidFill>
              <a:effectLst/>
            </a:rPr>
            <a:t>"57% overall margin — business retains ₹57 of every ₹100 earned. Kesar Pista leads at 61%, Vanilla is weakest at 52%."</a:t>
          </a:r>
          <a:endParaRPr lang="en-IN" sz="1800" b="0" cap="none" spc="0">
            <a:ln>
              <a:noFill/>
            </a:ln>
            <a:solidFill>
              <a:schemeClr val="tx1"/>
            </a:solidFill>
            <a:effectLst/>
          </a:endParaRPr>
        </a:p>
        <a:p>
          <a:endParaRPr lang="en-GB" sz="1800" b="0" cap="none" spc="0">
            <a:ln>
              <a:noFill/>
            </a:ln>
            <a:solidFill>
              <a:schemeClr val="tx1"/>
            </a:solidFill>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330199</xdr:colOff>
      <xdr:row>12</xdr:row>
      <xdr:rowOff>186266</xdr:rowOff>
    </xdr:from>
    <xdr:to>
      <xdr:col>5</xdr:col>
      <xdr:colOff>406400</xdr:colOff>
      <xdr:row>19</xdr:row>
      <xdr:rowOff>186266</xdr:rowOff>
    </xdr:to>
    <xdr:sp macro="" textlink="">
      <xdr:nvSpPr>
        <xdr:cNvPr id="2" name="TextBox 1">
          <a:extLst>
            <a:ext uri="{FF2B5EF4-FFF2-40B4-BE49-F238E27FC236}">
              <a16:creationId xmlns:a16="http://schemas.microsoft.com/office/drawing/2014/main" id="{4A1DC575-6C5C-5DD8-4B54-ABF333BBD198}"/>
            </a:ext>
          </a:extLst>
        </xdr:cNvPr>
        <xdr:cNvSpPr txBox="1"/>
      </xdr:nvSpPr>
      <xdr:spPr>
        <a:xfrm>
          <a:off x="3936999" y="2675466"/>
          <a:ext cx="2633134" cy="14393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100" b="0" i="0" u="none" strike="noStrike">
              <a:solidFill>
                <a:schemeClr val="dk1"/>
              </a:solidFill>
              <a:effectLst/>
              <a:latin typeface="Calibri" panose="020F0502020204030204" pitchFamily="34" charset="0"/>
              <a:ea typeface="+mn-ea"/>
              <a:cs typeface="Calibri" panose="020F0502020204030204" pitchFamily="34" charset="0"/>
            </a:rPr>
            <a:t>Assumed</a:t>
          </a:r>
          <a:r>
            <a:rPr lang="en-IN" sz="1100" b="0" i="0" u="none" strike="noStrike" baseline="0">
              <a:solidFill>
                <a:schemeClr val="dk1"/>
              </a:solidFill>
              <a:effectLst/>
              <a:latin typeface="Calibri" panose="020F0502020204030204" pitchFamily="34" charset="0"/>
              <a:ea typeface="+mn-ea"/>
              <a:cs typeface="Calibri" panose="020F0502020204030204" pitchFamily="34" charset="0"/>
            </a:rPr>
            <a:t> Competitors:</a:t>
          </a:r>
          <a:br>
            <a:rPr lang="en-IN" sz="1100" b="0" i="0" u="none" strike="noStrike" baseline="0">
              <a:solidFill>
                <a:schemeClr val="dk1"/>
              </a:solidFill>
              <a:effectLst/>
              <a:latin typeface="Calibri" panose="020F0502020204030204" pitchFamily="34" charset="0"/>
              <a:ea typeface="+mn-ea"/>
              <a:cs typeface="Calibri" panose="020F0502020204030204" pitchFamily="34" charset="0"/>
            </a:rPr>
          </a:br>
          <a:r>
            <a:rPr lang="en-IN" sz="1100" b="0" i="0" u="none" strike="noStrike" baseline="0">
              <a:solidFill>
                <a:schemeClr val="dk1"/>
              </a:solidFill>
              <a:effectLst/>
              <a:latin typeface="Calibri" panose="020F0502020204030204" pitchFamily="34" charset="0"/>
              <a:ea typeface="+mn-ea"/>
              <a:cs typeface="Calibri" panose="020F0502020204030204" pitchFamily="34" charset="0"/>
            </a:rPr>
            <a:t>Giani's</a:t>
          </a:r>
        </a:p>
        <a:p>
          <a:r>
            <a:rPr lang="en-IN" sz="1100" b="0" i="0" u="none" strike="noStrike" baseline="0">
              <a:solidFill>
                <a:schemeClr val="dk1"/>
              </a:solidFill>
              <a:effectLst/>
              <a:latin typeface="Calibri" panose="020F0502020204030204" pitchFamily="34" charset="0"/>
              <a:ea typeface="+mn-ea"/>
              <a:cs typeface="Calibri" panose="020F0502020204030204" pitchFamily="34" charset="0"/>
            </a:rPr>
            <a:t>Company X</a:t>
          </a:r>
        </a:p>
        <a:p>
          <a:r>
            <a:rPr lang="en-IN" sz="1100" b="0" i="0" u="none" strike="noStrike">
              <a:solidFill>
                <a:schemeClr val="dk1"/>
              </a:solidFill>
              <a:effectLst/>
              <a:latin typeface="Calibri" panose="020F0502020204030204" pitchFamily="34" charset="0"/>
              <a:ea typeface="+mn-ea"/>
              <a:cs typeface="Calibri" panose="020F0502020204030204" pitchFamily="34" charset="0"/>
            </a:rPr>
            <a:t>Amul</a:t>
          </a:r>
        </a:p>
        <a:p>
          <a:r>
            <a:rPr lang="en-IN" sz="1100" b="1">
              <a:latin typeface="Calibri" panose="020F0502020204030204" pitchFamily="34" charset="0"/>
              <a:cs typeface="Calibri" panose="020F0502020204030204" pitchFamily="34" charset="0"/>
            </a:rPr>
            <a:t>Competitor Avg = average of only your 3 assumed competitors (Amul, Company X, Giani's)</a:t>
          </a:r>
          <a:r>
            <a:rPr lang="en-IN" sz="1100">
              <a:latin typeface="Calibri" panose="020F0502020204030204" pitchFamily="34" charset="0"/>
              <a:cs typeface="Calibri" panose="020F0502020204030204" pitchFamily="34" charset="0"/>
            </a:rPr>
            <a:t> </a:t>
          </a:r>
          <a:r>
            <a:rPr lang="en-IN" sz="1100" b="1">
              <a:latin typeface="Calibri" panose="020F0502020204030204" pitchFamily="34" charset="0"/>
              <a:cs typeface="Calibri" panose="020F0502020204030204" pitchFamily="34" charset="0"/>
            </a:rPr>
            <a:t>NOT the entire market</a:t>
          </a:r>
          <a:endParaRPr lang="en-IN" sz="1100" b="0" i="0" u="none" strike="noStrike">
            <a:solidFill>
              <a:schemeClr val="dk1"/>
            </a:solidFill>
            <a:effectLst/>
            <a:latin typeface="Calibri" panose="020F0502020204030204" pitchFamily="34" charset="0"/>
            <a:ea typeface="+mn-ea"/>
            <a:cs typeface="Calibri" panose="020F0502020204030204" pitchFamily="34" charset="0"/>
          </a:endParaRPr>
        </a:p>
        <a:p>
          <a:endParaRPr lang="en-IN" sz="1100" b="0" i="0" u="none" strike="noStrike">
            <a:solidFill>
              <a:schemeClr val="dk1"/>
            </a:solidFill>
            <a:effectLst/>
            <a:latin typeface="Calibri" panose="020F0502020204030204" pitchFamily="34" charset="0"/>
            <a:ea typeface="+mn-ea"/>
            <a:cs typeface="Calibri" panose="020F0502020204030204" pitchFamily="34" charset="0"/>
          </a:endParaRPr>
        </a:p>
        <a:p>
          <a:endParaRPr lang="en-GB" sz="1100">
            <a:latin typeface="Calibri" panose="020F0502020204030204" pitchFamily="34" charset="0"/>
            <a:cs typeface="Calibri" panose="020F0502020204030204" pitchFamily="34" charset="0"/>
          </a:endParaRPr>
        </a:p>
      </xdr:txBody>
    </xdr:sp>
    <xdr:clientData/>
  </xdr:twoCellAnchor>
  <xdr:twoCellAnchor>
    <xdr:from>
      <xdr:col>5</xdr:col>
      <xdr:colOff>546100</xdr:colOff>
      <xdr:row>21</xdr:row>
      <xdr:rowOff>152400</xdr:rowOff>
    </xdr:from>
    <xdr:to>
      <xdr:col>9</xdr:col>
      <xdr:colOff>101600</xdr:colOff>
      <xdr:row>33</xdr:row>
      <xdr:rowOff>84667</xdr:rowOff>
    </xdr:to>
    <xdr:sp macro="" textlink="">
      <xdr:nvSpPr>
        <xdr:cNvPr id="3" name="TextBox 2">
          <a:extLst>
            <a:ext uri="{FF2B5EF4-FFF2-40B4-BE49-F238E27FC236}">
              <a16:creationId xmlns:a16="http://schemas.microsoft.com/office/drawing/2014/main" id="{BA63D6E3-7C0E-BB76-9C84-7FF3F77E52E0}"/>
            </a:ext>
          </a:extLst>
        </xdr:cNvPr>
        <xdr:cNvSpPr txBox="1"/>
      </xdr:nvSpPr>
      <xdr:spPr>
        <a:xfrm>
          <a:off x="6709833" y="4487333"/>
          <a:ext cx="3365500" cy="240453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KEY INSIGHTS</a:t>
          </a:r>
        </a:p>
        <a:p>
          <a:endParaRPr lang="en-GB" sz="1100"/>
        </a:p>
        <a:p>
          <a:r>
            <a:rPr lang="en-GB" sz="1100"/>
            <a:t>• </a:t>
          </a:r>
          <a:r>
            <a:rPr lang="en-GB" sz="1100" b="1"/>
            <a:t>The client is priced below key competitors (Giani’s, Amul, Company</a:t>
          </a:r>
          <a:r>
            <a:rPr lang="en-GB" sz="1100" b="1" baseline="0"/>
            <a:t> X</a:t>
          </a:r>
          <a:r>
            <a:rPr lang="en-GB" sz="1100" b="1"/>
            <a:t>) across all flavours.</a:t>
          </a:r>
        </a:p>
        <a:p>
          <a:r>
            <a:rPr lang="en-GB" sz="1100"/>
            <a:t>• The largest price gaps appear in Mango and Vanilla, indicating potential underpricing.</a:t>
          </a:r>
        </a:p>
        <a:p>
          <a:r>
            <a:rPr lang="en-GB" sz="1100"/>
            <a:t>• Kesar Pista is closest to competitor pricing, suggesting limited room for increases.</a:t>
          </a:r>
        </a:p>
        <a:p>
          <a:endParaRPr lang="en-GB" sz="1100"/>
        </a:p>
        <a:p>
          <a:r>
            <a:rPr lang="en-GB" sz="1100"/>
            <a:t>BUSINESS IMPLICATION</a:t>
          </a:r>
        </a:p>
        <a:p>
          <a:r>
            <a:rPr lang="en-GB" sz="1100"/>
            <a:t>The client can increase prices slightly—especially for Mango and Vanilla—while still remaining competitive in the local market.</a:t>
          </a:r>
        </a:p>
      </xdr:txBody>
    </xdr:sp>
    <xdr:clientData/>
  </xdr:twoCellAnchor>
  <xdr:twoCellAnchor>
    <xdr:from>
      <xdr:col>1</xdr:col>
      <xdr:colOff>33866</xdr:colOff>
      <xdr:row>19</xdr:row>
      <xdr:rowOff>152400</xdr:rowOff>
    </xdr:from>
    <xdr:to>
      <xdr:col>2</xdr:col>
      <xdr:colOff>1016000</xdr:colOff>
      <xdr:row>21</xdr:row>
      <xdr:rowOff>33867</xdr:rowOff>
    </xdr:to>
    <xdr:sp macro="" textlink="">
      <xdr:nvSpPr>
        <xdr:cNvPr id="4" name="TextBox 3">
          <a:extLst>
            <a:ext uri="{FF2B5EF4-FFF2-40B4-BE49-F238E27FC236}">
              <a16:creationId xmlns:a16="http://schemas.microsoft.com/office/drawing/2014/main" id="{BE08FDDD-B445-A242-22B0-7D79F0AE5896}"/>
            </a:ext>
          </a:extLst>
        </xdr:cNvPr>
        <xdr:cNvSpPr txBox="1"/>
      </xdr:nvSpPr>
      <xdr:spPr>
        <a:xfrm>
          <a:off x="1100666" y="4080933"/>
          <a:ext cx="2269067" cy="287867"/>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STEP 1: Where we are today?</a:t>
          </a:r>
        </a:p>
        <a:p>
          <a:endParaRPr lang="en-GB" sz="1100"/>
        </a:p>
      </xdr:txBody>
    </xdr:sp>
    <xdr:clientData/>
  </xdr:twoCellAnchor>
  <xdr:twoCellAnchor>
    <xdr:from>
      <xdr:col>1</xdr:col>
      <xdr:colOff>0</xdr:colOff>
      <xdr:row>28</xdr:row>
      <xdr:rowOff>101600</xdr:rowOff>
    </xdr:from>
    <xdr:to>
      <xdr:col>2</xdr:col>
      <xdr:colOff>1083734</xdr:colOff>
      <xdr:row>29</xdr:row>
      <xdr:rowOff>118534</xdr:rowOff>
    </xdr:to>
    <xdr:sp macro="" textlink="">
      <xdr:nvSpPr>
        <xdr:cNvPr id="5" name="TextBox 4">
          <a:extLst>
            <a:ext uri="{FF2B5EF4-FFF2-40B4-BE49-F238E27FC236}">
              <a16:creationId xmlns:a16="http://schemas.microsoft.com/office/drawing/2014/main" id="{A4A15453-511E-D832-5316-E151057C2194}"/>
            </a:ext>
          </a:extLst>
        </xdr:cNvPr>
        <xdr:cNvSpPr txBox="1"/>
      </xdr:nvSpPr>
      <xdr:spPr>
        <a:xfrm>
          <a:off x="1066800" y="5858933"/>
          <a:ext cx="2370667" cy="22013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STEP 2: What seasons tell us?</a:t>
          </a:r>
        </a:p>
      </xdr:txBody>
    </xdr:sp>
    <xdr:clientData/>
  </xdr:twoCellAnchor>
  <xdr:twoCellAnchor>
    <xdr:from>
      <xdr:col>1</xdr:col>
      <xdr:colOff>16933</xdr:colOff>
      <xdr:row>40</xdr:row>
      <xdr:rowOff>16932</xdr:rowOff>
    </xdr:from>
    <xdr:to>
      <xdr:col>4</xdr:col>
      <xdr:colOff>0</xdr:colOff>
      <xdr:row>43</xdr:row>
      <xdr:rowOff>84667</xdr:rowOff>
    </xdr:to>
    <xdr:sp macro="" textlink="">
      <xdr:nvSpPr>
        <xdr:cNvPr id="6" name="TextBox 5">
          <a:extLst>
            <a:ext uri="{FF2B5EF4-FFF2-40B4-BE49-F238E27FC236}">
              <a16:creationId xmlns:a16="http://schemas.microsoft.com/office/drawing/2014/main" id="{411CB3D9-AF07-BFB0-DAF8-92C2EABAEA9C}"/>
            </a:ext>
          </a:extLst>
        </xdr:cNvPr>
        <xdr:cNvSpPr txBox="1"/>
      </xdr:nvSpPr>
      <xdr:spPr>
        <a:xfrm>
          <a:off x="1083733" y="8246532"/>
          <a:ext cx="4131734" cy="677335"/>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Step 3 — Apply Dynamic Pricing Model :</a:t>
          </a:r>
        </a:p>
        <a:p>
          <a:endParaRPr lang="en-IN"/>
        </a:p>
        <a:p>
          <a:r>
            <a:rPr lang="en-GB" sz="1100"/>
            <a:t>Final Price = MAX(Floor, MIN(Ceiling, Competitor Avg × Season Multi))</a:t>
          </a:r>
        </a:p>
      </xdr:txBody>
    </xdr:sp>
    <xdr:clientData/>
  </xdr:twoCellAnchor>
  <xdr:twoCellAnchor>
    <xdr:from>
      <xdr:col>2</xdr:col>
      <xdr:colOff>0</xdr:colOff>
      <xdr:row>14</xdr:row>
      <xdr:rowOff>0</xdr:rowOff>
    </xdr:from>
    <xdr:to>
      <xdr:col>2</xdr:col>
      <xdr:colOff>635000</xdr:colOff>
      <xdr:row>16</xdr:row>
      <xdr:rowOff>88900</xdr:rowOff>
    </xdr:to>
    <xdr:sp macro="" textlink="">
      <xdr:nvSpPr>
        <xdr:cNvPr id="7169" name="Text Box 1">
          <a:extLst>
            <a:ext uri="{FF2B5EF4-FFF2-40B4-BE49-F238E27FC236}">
              <a16:creationId xmlns:a16="http://schemas.microsoft.com/office/drawing/2014/main" id="{A3695D4E-09B9-D176-353E-129D0F17A31A}"/>
            </a:ext>
          </a:extLst>
        </xdr:cNvPr>
        <xdr:cNvSpPr txBox="1">
          <a:spLocks noChangeArrowheads="1"/>
        </xdr:cNvSpPr>
      </xdr:nvSpPr>
      <xdr:spPr bwMode="auto">
        <a:xfrm>
          <a:off x="2349500" y="2895600"/>
          <a:ext cx="635000" cy="4953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GB" sz="1200" b="0" i="0" u="none" strike="noStrike" baseline="0">
              <a:solidFill>
                <a:srgbClr val="000000"/>
              </a:solidFill>
              <a:latin typeface="Aptos Narrow" pitchFamily="2" charset="0"/>
            </a:rPr>
            <a:t>Step 3 Logic — Mango explained:</a:t>
          </a:r>
        </a:p>
        <a:p>
          <a:pPr algn="l" rtl="0">
            <a:defRPr sz="1000"/>
          </a:pPr>
          <a:endParaRPr lang="en-GB" sz="1200" b="0" i="0" u="none" strike="noStrike" baseline="0">
            <a:solidFill>
              <a:srgbClr val="000000"/>
            </a:solidFill>
            <a:latin typeface="Aptos Narrow" pitchFamily="2" charset="0"/>
          </a:endParaRPr>
        </a:p>
        <a:p>
          <a:pPr algn="l" rtl="0">
            <a:defRPr sz="1000"/>
          </a:pPr>
          <a:r>
            <a:rPr lang="en-GB" sz="1200" b="0" i="0" u="none" strike="noStrike" baseline="0">
              <a:solidFill>
                <a:srgbClr val="000000"/>
              </a:solidFill>
              <a:latin typeface="Aptos Narrow" pitchFamily="2" charset="0"/>
            </a:rPr>
            <a:t>Inputs:</a:t>
          </a:r>
        </a:p>
        <a:p>
          <a:pPr algn="l" rtl="0">
            <a:defRPr sz="1000"/>
          </a:pPr>
          <a:r>
            <a:rPr lang="en-GB" sz="1200" b="0" i="0" u="none" strike="noStrike" baseline="0">
              <a:solidFill>
                <a:srgbClr val="000000"/>
              </a:solidFill>
              <a:latin typeface="Aptos Narrow" pitchFamily="2" charset="0"/>
            </a:rPr>
            <a:t>InputValueSourceCompetitor Avg₹45(Amul ₹50 + Company X ₹38 + Giani's ₹47) / 3Floor₹38MIN(50, 38, 47) — cheapest competitorCeiling₹50MAX(50, 38, 47) — most expensive competitorSeason Multi1.1 / 1.0 / 0.9From demand analysis</a:t>
          </a:r>
        </a:p>
      </xdr:txBody>
    </xdr:sp>
    <xdr:clientData/>
  </xdr:twoCellAnchor>
  <xdr:twoCellAnchor>
    <xdr:from>
      <xdr:col>1</xdr:col>
      <xdr:colOff>33866</xdr:colOff>
      <xdr:row>35</xdr:row>
      <xdr:rowOff>101600</xdr:rowOff>
    </xdr:from>
    <xdr:to>
      <xdr:col>3</xdr:col>
      <xdr:colOff>1507067</xdr:colOff>
      <xdr:row>39</xdr:row>
      <xdr:rowOff>16933</xdr:rowOff>
    </xdr:to>
    <xdr:sp macro="" textlink="">
      <xdr:nvSpPr>
        <xdr:cNvPr id="8" name="TextBox 7">
          <a:extLst>
            <a:ext uri="{FF2B5EF4-FFF2-40B4-BE49-F238E27FC236}">
              <a16:creationId xmlns:a16="http://schemas.microsoft.com/office/drawing/2014/main" id="{3A4BACD5-9F6D-1DC3-3FC6-BB1075CFAA17}"/>
            </a:ext>
          </a:extLst>
        </xdr:cNvPr>
        <xdr:cNvSpPr txBox="1"/>
      </xdr:nvSpPr>
      <xdr:spPr>
        <a:xfrm>
          <a:off x="1100666" y="7315200"/>
          <a:ext cx="4013201" cy="72813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effectLst/>
            </a:rPr>
            <a:t>Seasonal multipliers (Summer: +4%, Monsoon: 0%, Winter: -4%) reflect observed demand peaks and troughs from 2022–23 sales data. Conservative ±4% band chosen to protect volume during price transition.</a:t>
          </a:r>
        </a:p>
        <a:p>
          <a:endParaRPr lang="en-GB" sz="1100"/>
        </a:p>
      </xdr:txBody>
    </xdr:sp>
    <xdr:clientData/>
  </xdr:twoCellAnchor>
  <xdr:twoCellAnchor>
    <xdr:from>
      <xdr:col>4</xdr:col>
      <xdr:colOff>429559</xdr:colOff>
      <xdr:row>38</xdr:row>
      <xdr:rowOff>18678</xdr:rowOff>
    </xdr:from>
    <xdr:to>
      <xdr:col>8</xdr:col>
      <xdr:colOff>560294</xdr:colOff>
      <xdr:row>42</xdr:row>
      <xdr:rowOff>186766</xdr:rowOff>
    </xdr:to>
    <xdr:sp macro="" textlink="">
      <xdr:nvSpPr>
        <xdr:cNvPr id="9" name="TextBox 8">
          <a:extLst>
            <a:ext uri="{FF2B5EF4-FFF2-40B4-BE49-F238E27FC236}">
              <a16:creationId xmlns:a16="http://schemas.microsoft.com/office/drawing/2014/main" id="{48D61B42-694B-C8D9-82FA-3916DE60C7F6}"/>
            </a:ext>
          </a:extLst>
        </xdr:cNvPr>
        <xdr:cNvSpPr txBox="1"/>
      </xdr:nvSpPr>
      <xdr:spPr>
        <a:xfrm>
          <a:off x="5640294" y="7937502"/>
          <a:ext cx="4034118" cy="989852"/>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a:t>Final Recommended Price = Competitor Avg × Season Multiplier, constrained within Floor (cheapest competitor) and Ceiling (most expensive competitor). Ensures price is demand-responsive while never undercutting or exceeding assumed competitors.</a:t>
          </a:r>
        </a:p>
        <a:p>
          <a:endParaRPr lang="en-GB" sz="1100"/>
        </a:p>
      </xdr:txBody>
    </xdr:sp>
    <xdr:clientData/>
  </xdr:twoCellAnchor>
  <xdr:twoCellAnchor>
    <xdr:from>
      <xdr:col>1</xdr:col>
      <xdr:colOff>413133</xdr:colOff>
      <xdr:row>62</xdr:row>
      <xdr:rowOff>76506</xdr:rowOff>
    </xdr:from>
    <xdr:to>
      <xdr:col>3</xdr:col>
      <xdr:colOff>1407711</xdr:colOff>
      <xdr:row>67</xdr:row>
      <xdr:rowOff>15301</xdr:rowOff>
    </xdr:to>
    <xdr:sp macro="" textlink="">
      <xdr:nvSpPr>
        <xdr:cNvPr id="10" name="TextBox 9">
          <a:extLst>
            <a:ext uri="{FF2B5EF4-FFF2-40B4-BE49-F238E27FC236}">
              <a16:creationId xmlns:a16="http://schemas.microsoft.com/office/drawing/2014/main" id="{F46D2D58-A4FC-23B7-2276-7A56C5AE0D51}"/>
            </a:ext>
          </a:extLst>
        </xdr:cNvPr>
        <xdr:cNvSpPr txBox="1"/>
      </xdr:nvSpPr>
      <xdr:spPr>
        <a:xfrm>
          <a:off x="1484217" y="12501084"/>
          <a:ext cx="3534578" cy="93337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The Client is underpriced across all flavours vs competitors. Dynamic pricing anchored to competitor average with ±4% seasonal adjustment recommends 20–22% price revision — positioning The Client closer to local premium segment.</a:t>
          </a:r>
          <a:endParaRPr lang="en-GB" sz="1100"/>
        </a:p>
      </xdr:txBody>
    </xdr:sp>
    <xdr:clientData/>
  </xdr:twoCellAnchor>
  <xdr:twoCellAnchor>
    <xdr:from>
      <xdr:col>8</xdr:col>
      <xdr:colOff>663424</xdr:colOff>
      <xdr:row>65</xdr:row>
      <xdr:rowOff>61484</xdr:rowOff>
    </xdr:from>
    <xdr:to>
      <xdr:col>13</xdr:col>
      <xdr:colOff>117728</xdr:colOff>
      <xdr:row>78</xdr:row>
      <xdr:rowOff>163085</xdr:rowOff>
    </xdr:to>
    <xdr:graphicFrame macro="">
      <xdr:nvGraphicFramePr>
        <xdr:cNvPr id="13" name="Chart 12">
          <a:extLst>
            <a:ext uri="{FF2B5EF4-FFF2-40B4-BE49-F238E27FC236}">
              <a16:creationId xmlns:a16="http://schemas.microsoft.com/office/drawing/2014/main" id="{8C84A525-2345-629E-87BE-1C3254062C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546395</xdr:colOff>
      <xdr:row>8</xdr:row>
      <xdr:rowOff>191978</xdr:rowOff>
    </xdr:from>
    <xdr:to>
      <xdr:col>9</xdr:col>
      <xdr:colOff>605465</xdr:colOff>
      <xdr:row>27</xdr:row>
      <xdr:rowOff>191977</xdr:rowOff>
    </xdr:to>
    <xdr:graphicFrame macro="">
      <xdr:nvGraphicFramePr>
        <xdr:cNvPr id="4" name="Chart 3">
          <a:extLst>
            <a:ext uri="{FF2B5EF4-FFF2-40B4-BE49-F238E27FC236}">
              <a16:creationId xmlns:a16="http://schemas.microsoft.com/office/drawing/2014/main" id="{C5C9465D-B6E0-9EEE-283D-65ED4F666A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640521</xdr:colOff>
      <xdr:row>33</xdr:row>
      <xdr:rowOff>13314</xdr:rowOff>
    </xdr:from>
    <xdr:to>
      <xdr:col>8</xdr:col>
      <xdr:colOff>191976</xdr:colOff>
      <xdr:row>49</xdr:row>
      <xdr:rowOff>118310</xdr:rowOff>
    </xdr:to>
    <xdr:graphicFrame macro="">
      <xdr:nvGraphicFramePr>
        <xdr:cNvPr id="5" name="Chart 4">
          <a:extLst>
            <a:ext uri="{FF2B5EF4-FFF2-40B4-BE49-F238E27FC236}">
              <a16:creationId xmlns:a16="http://schemas.microsoft.com/office/drawing/2014/main" id="{7D6093FE-53D7-807F-F71F-B75DC72269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277872</xdr:colOff>
      <xdr:row>41</xdr:row>
      <xdr:rowOff>193467</xdr:rowOff>
    </xdr:from>
    <xdr:to>
      <xdr:col>4</xdr:col>
      <xdr:colOff>14767</xdr:colOff>
      <xdr:row>49</xdr:row>
      <xdr:rowOff>132908</xdr:rowOff>
    </xdr:to>
    <xdr:sp macro="" textlink="">
      <xdr:nvSpPr>
        <xdr:cNvPr id="7" name="TextBox 6">
          <a:extLst>
            <a:ext uri="{FF2B5EF4-FFF2-40B4-BE49-F238E27FC236}">
              <a16:creationId xmlns:a16="http://schemas.microsoft.com/office/drawing/2014/main" id="{007E2B7E-CE9C-816F-61CB-5B35D94B5FAC}"/>
            </a:ext>
          </a:extLst>
        </xdr:cNvPr>
        <xdr:cNvSpPr txBox="1"/>
      </xdr:nvSpPr>
      <xdr:spPr>
        <a:xfrm>
          <a:off x="277872" y="8669979"/>
          <a:ext cx="4610151" cy="159339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sz="1600"/>
            <a:t>Mango leads 2024 forecast at 2,183 units — highest absolute growth of +328 units. Chocolate second at 1,747 units. Kesar Pista and Vanilla show strongest percentage growth at ~23% — indicating rising premium demand. Total 2024 forecast: 6,120 units vs 5,221 in 2023 — 17.2% overall growth.</a:t>
          </a:r>
          <a:endParaRPr lang="en-GB"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398721</xdr:colOff>
      <xdr:row>12</xdr:row>
      <xdr:rowOff>14766</xdr:rowOff>
    </xdr:from>
    <xdr:to>
      <xdr:col>11</xdr:col>
      <xdr:colOff>221512</xdr:colOff>
      <xdr:row>21</xdr:row>
      <xdr:rowOff>191977</xdr:rowOff>
    </xdr:to>
    <xdr:sp macro="" textlink="">
      <xdr:nvSpPr>
        <xdr:cNvPr id="3" name="TextBox 2">
          <a:extLst>
            <a:ext uri="{FF2B5EF4-FFF2-40B4-BE49-F238E27FC236}">
              <a16:creationId xmlns:a16="http://schemas.microsoft.com/office/drawing/2014/main" id="{80DFCC4E-779D-8429-7F76-ABB6F323C639}"/>
            </a:ext>
          </a:extLst>
        </xdr:cNvPr>
        <xdr:cNvSpPr txBox="1"/>
      </xdr:nvSpPr>
      <xdr:spPr>
        <a:xfrm>
          <a:off x="11193721" y="2495696"/>
          <a:ext cx="3411279" cy="2037909"/>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For 2024 projected — we need weighted average price per flavour across 3 seasons.</a:t>
          </a:r>
          <a:endParaRPr lang="en-GB" sz="1100"/>
        </a:p>
        <a:p>
          <a:r>
            <a:rPr lang="en-GB" sz="1100"/>
            <a:t>Weighted</a:t>
          </a:r>
          <a:r>
            <a:rPr lang="en-GB" sz="1100" baseline="0"/>
            <a:t> Average Price for Mango:</a:t>
          </a:r>
          <a:endParaRPr lang="en-GB" sz="1100"/>
        </a:p>
        <a:p>
          <a:r>
            <a:rPr lang="en-GB" sz="1100"/>
            <a:t>= (46.8×0.55) + (45×0.25) + (43.2×0.20)</a:t>
          </a:r>
        </a:p>
        <a:p>
          <a:r>
            <a:rPr lang="en-GB" sz="1100"/>
            <a:t>= 25.74 + 11.25 + 8.64</a:t>
          </a:r>
        </a:p>
        <a:p>
          <a:r>
            <a:rPr lang="en-GB" sz="1100"/>
            <a:t>= ₹45.63</a:t>
          </a:r>
        </a:p>
        <a:p>
          <a:endParaRPr lang="en-GB" sz="1100"/>
        </a:p>
        <a:p>
          <a:r>
            <a:rPr lang="en-IN" b="1"/>
            <a:t>Logic:</a:t>
          </a:r>
          <a:endParaRPr lang="en-IN"/>
        </a:p>
        <a:p>
          <a:r>
            <a:rPr lang="en-IN"/>
            <a:t>Summer units = ~55% of annual</a:t>
          </a:r>
        </a:p>
        <a:p>
          <a:r>
            <a:rPr lang="en-IN"/>
            <a:t>Monsoon units = ~25% of annual</a:t>
          </a:r>
        </a:p>
        <a:p>
          <a:r>
            <a:rPr lang="en-IN"/>
            <a:t>Winter units = ~20% of annual</a:t>
          </a:r>
        </a:p>
        <a:p>
          <a:endParaRPr lang="en-GB" sz="1100"/>
        </a:p>
      </xdr:txBody>
    </xdr:sp>
    <xdr:clientData/>
  </xdr:twoCellAnchor>
  <xdr:twoCellAnchor>
    <xdr:from>
      <xdr:col>8</xdr:col>
      <xdr:colOff>360149</xdr:colOff>
      <xdr:row>6</xdr:row>
      <xdr:rowOff>18955</xdr:rowOff>
    </xdr:from>
    <xdr:to>
      <xdr:col>10</xdr:col>
      <xdr:colOff>1118357</xdr:colOff>
      <xdr:row>10</xdr:row>
      <xdr:rowOff>170596</xdr:rowOff>
    </xdr:to>
    <xdr:sp macro="" textlink="">
      <xdr:nvSpPr>
        <xdr:cNvPr id="4" name="TextBox 3">
          <a:extLst>
            <a:ext uri="{FF2B5EF4-FFF2-40B4-BE49-F238E27FC236}">
              <a16:creationId xmlns:a16="http://schemas.microsoft.com/office/drawing/2014/main" id="{7F36DFDE-4C8F-76FB-348F-E05958913027}"/>
            </a:ext>
          </a:extLst>
        </xdr:cNvPr>
        <xdr:cNvSpPr txBox="1"/>
      </xdr:nvSpPr>
      <xdr:spPr>
        <a:xfrm>
          <a:off x="11373134" y="1270000"/>
          <a:ext cx="3146566" cy="985671"/>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P&amp;L Logic:</a:t>
          </a:r>
          <a:r>
            <a:rPr lang="en-IN"/>
            <a:t> 2023 Actual P&amp;L uses confirmed units from sales data and 2-year average prices from Cost Structure sheet. Gross Profit = Revenue minus Total Cost. Margin % = Gross Profit divided by Revenue.</a:t>
          </a:r>
          <a:endParaRPr lang="en-GB" sz="1100"/>
        </a:p>
      </xdr:txBody>
    </xdr:sp>
    <xdr:clientData/>
  </xdr:twoCellAnchor>
  <xdr:twoCellAnchor>
    <xdr:from>
      <xdr:col>5</xdr:col>
      <xdr:colOff>322238</xdr:colOff>
      <xdr:row>23</xdr:row>
      <xdr:rowOff>37909</xdr:rowOff>
    </xdr:from>
    <xdr:to>
      <xdr:col>9</xdr:col>
      <xdr:colOff>151642</xdr:colOff>
      <xdr:row>26</xdr:row>
      <xdr:rowOff>170596</xdr:rowOff>
    </xdr:to>
    <xdr:sp macro="" textlink="">
      <xdr:nvSpPr>
        <xdr:cNvPr id="5" name="TextBox 4">
          <a:extLst>
            <a:ext uri="{FF2B5EF4-FFF2-40B4-BE49-F238E27FC236}">
              <a16:creationId xmlns:a16="http://schemas.microsoft.com/office/drawing/2014/main" id="{616BDE16-EFCF-46FD-6A5B-EE27E5F43917}"/>
            </a:ext>
          </a:extLst>
        </xdr:cNvPr>
        <xdr:cNvSpPr txBox="1"/>
      </xdr:nvSpPr>
      <xdr:spPr>
        <a:xfrm>
          <a:off x="7752686" y="4833581"/>
          <a:ext cx="4606120" cy="758209"/>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Projection Basis:</a:t>
          </a:r>
          <a:r>
            <a:rPr lang="en-IN"/>
            <a:t> 2024 forecast units derived using linear trend — 2024 = 2023 + (2023 - 2022). Prices derived from competitor-anchored dynamic pricing model with ±4% seasonal adjustment.</a:t>
          </a:r>
          <a:endParaRPr lang="en-GB" sz="1100"/>
        </a:p>
      </xdr:txBody>
    </xdr:sp>
    <xdr:clientData/>
  </xdr:twoCellAnchor>
  <xdr:twoCellAnchor>
    <xdr:from>
      <xdr:col>8</xdr:col>
      <xdr:colOff>322240</xdr:colOff>
      <xdr:row>1</xdr:row>
      <xdr:rowOff>75822</xdr:rowOff>
    </xdr:from>
    <xdr:to>
      <xdr:col>11</xdr:col>
      <xdr:colOff>568658</xdr:colOff>
      <xdr:row>4</xdr:row>
      <xdr:rowOff>189552</xdr:rowOff>
    </xdr:to>
    <xdr:sp macro="" textlink="">
      <xdr:nvSpPr>
        <xdr:cNvPr id="6" name="TextBox 5">
          <a:extLst>
            <a:ext uri="{FF2B5EF4-FFF2-40B4-BE49-F238E27FC236}">
              <a16:creationId xmlns:a16="http://schemas.microsoft.com/office/drawing/2014/main" id="{7C8D978B-AD29-A91E-0A47-C8DCFFCE31F4}"/>
            </a:ext>
          </a:extLst>
        </xdr:cNvPr>
        <xdr:cNvSpPr txBox="1"/>
      </xdr:nvSpPr>
      <xdr:spPr>
        <a:xfrm>
          <a:off x="11335225" y="284329"/>
          <a:ext cx="3828955" cy="73925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b="1"/>
            <a:t>Steps:</a:t>
          </a:r>
          <a:r>
            <a:rPr lang="en-IN"/>
            <a:t> (1) Confirm 2023 actuals → (2) Calculate dynamic prices per season → (3) Derive WAP → (4) Apply forecast units → (5) Compare P&amp;L to quantify impact of pricing strategy.</a:t>
          </a:r>
          <a:endParaRPr lang="en-GB" sz="1100"/>
        </a:p>
      </xdr:txBody>
    </xdr:sp>
    <xdr:clientData/>
  </xdr:twoCellAnchor>
  <xdr:twoCellAnchor>
    <xdr:from>
      <xdr:col>0</xdr:col>
      <xdr:colOff>511792</xdr:colOff>
      <xdr:row>27</xdr:row>
      <xdr:rowOff>151643</xdr:rowOff>
    </xdr:from>
    <xdr:to>
      <xdr:col>3</xdr:col>
      <xdr:colOff>928806</xdr:colOff>
      <xdr:row>33</xdr:row>
      <xdr:rowOff>151642</xdr:rowOff>
    </xdr:to>
    <xdr:sp macro="" textlink="">
      <xdr:nvSpPr>
        <xdr:cNvPr id="7" name="TextBox 6">
          <a:extLst>
            <a:ext uri="{FF2B5EF4-FFF2-40B4-BE49-F238E27FC236}">
              <a16:creationId xmlns:a16="http://schemas.microsoft.com/office/drawing/2014/main" id="{F60A5380-713E-4C30-933F-91A9770141AA}"/>
            </a:ext>
          </a:extLst>
        </xdr:cNvPr>
        <xdr:cNvSpPr txBox="1"/>
      </xdr:nvSpPr>
      <xdr:spPr>
        <a:xfrm>
          <a:off x="511792" y="5781344"/>
          <a:ext cx="5459104" cy="1251044"/>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IN"/>
            <a:t>INSIGHTS</a:t>
          </a:r>
        </a:p>
        <a:p>
          <a:r>
            <a:rPr lang="en-IN"/>
            <a:t>In 2023 the business earned ₹2,04,493 at 56% margin — below all three competitors on price. Dynamic pricing raises projected 2024 revenue to ₹2,74,217 (+34%) and profit to ₹1,69,459 (+47%) — driven by price correction across all flavours. Recommend immediate price revision with focus on Mango in Summer and Kesar Pista year-round for margin maximisation.</a:t>
          </a:r>
          <a:endParaRPr lang="en-GB"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pplications/Microsoft%20Excel.app/Contents/Frameworks/ATP.framework/Resources/en_GB.lproj/PROCDB.XLAM" TargetMode="External"/><Relationship Id="rId1" Type="http://schemas.openxmlformats.org/officeDocument/2006/relationships/externalLinkPath" Target="/Applications/Microsoft%20Excel.app/Contents/Frameworks/ATP.framework/Resources/en_GB.lproj/PROCDB.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
      <sheetName val="RES"/>
    </sheetNames>
    <definedNames>
      <definedName name="CompareScenarios"/>
      <definedName name="RefreshData"/>
    </definedNames>
    <sheetDataSet>
      <sheetData sheetId="0"/>
      <sheetData sheetId="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yant Bhriguvanshi" refreshedDate="46095.884889120367" createdVersion="8" refreshedVersion="8" minRefreshableVersion="3" recordCount="148" xr:uid="{02EDBBEB-C00E-C545-BC61-D0C05F3F61B3}">
  <cacheSource type="worksheet">
    <worksheetSource ref="A1:M149" sheet="Cleaned_Data"/>
  </cacheSource>
  <cacheFields count="13">
    <cacheField name="Date" numFmtId="0">
      <sharedItems containsNonDate="0" containsDate="1" containsString="0" containsBlank="1" minDate="2022-04-01T00:00:00" maxDate="2023-12-26T00:00:00"/>
    </cacheField>
    <cacheField name="Flavour" numFmtId="0">
      <sharedItems containsBlank="1" count="6">
        <s v="Mango"/>
        <s v="Chocolate"/>
        <s v="Vanilla"/>
        <s v="Strawberry"/>
        <s v="Kesar Pista"/>
        <m/>
      </sharedItems>
    </cacheField>
    <cacheField name="Location" numFmtId="0">
      <sharedItems containsBlank="1"/>
    </cacheField>
    <cacheField name="Season" numFmtId="0">
      <sharedItems containsBlank="1" count="4">
        <s v="Summer"/>
        <s v="Monsoon"/>
        <s v="Winter"/>
        <m/>
      </sharedItems>
    </cacheField>
    <cacheField name="Day_Type" numFmtId="0">
      <sharedItems containsBlank="1"/>
    </cacheField>
    <cacheField name="Units_Sold" numFmtId="0">
      <sharedItems containsString="0" containsBlank="1" containsNumber="1" containsInteger="1" minValue="22" maxValue="158"/>
    </cacheField>
    <cacheField name="Selling_Price" numFmtId="0">
      <sharedItems containsString="0" containsBlank="1" containsNumber="1" containsInteger="1" minValue="26" maxValue="65"/>
    </cacheField>
    <cacheField name="Cost_Per_Unit" numFmtId="0">
      <sharedItems containsString="0" containsBlank="1" containsNumber="1" containsInteger="1" minValue="13" maxValue="23"/>
    </cacheField>
    <cacheField name="Weather" numFmtId="0">
      <sharedItems containsBlank="1"/>
    </cacheField>
    <cacheField name="Festival Day" numFmtId="0">
      <sharedItems containsBlank="1"/>
    </cacheField>
    <cacheField name="Revenue" numFmtId="0">
      <sharedItems containsString="0" containsBlank="1" containsNumber="1" containsInteger="1" minValue="572" maxValue="7268"/>
    </cacheField>
    <cacheField name="Total Cost" numFmtId="0">
      <sharedItems containsString="0" containsBlank="1" containsNumber="1" containsInteger="1" minValue="286" maxValue="2686"/>
    </cacheField>
    <cacheField name="Profit" numFmtId="0">
      <sharedItems containsString="0" containsBlank="1" containsNumber="1" containsInteger="1" minValue="286" maxValue="458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yant Bhriguvanshi" refreshedDate="46100.865453124999" createdVersion="8" refreshedVersion="8" minRefreshableVersion="3" recordCount="146" xr:uid="{0087E91F-F842-9C4C-954F-3A3A14C321BB}">
  <cacheSource type="worksheet">
    <worksheetSource ref="A1:M147" sheet="Cleaned_Data"/>
  </cacheSource>
  <cacheFields count="13">
    <cacheField name="Date" numFmtId="15">
      <sharedItems containsSemiMixedTypes="0" containsNonDate="0" containsDate="1" containsString="0" minDate="2022-04-01T00:00:00" maxDate="2023-12-26T00:00:00"/>
    </cacheField>
    <cacheField name="Flavour" numFmtId="0">
      <sharedItems count="5">
        <s v="Mango"/>
        <s v="Chocolate"/>
        <s v="Vanilla"/>
        <s v="Strawberry"/>
        <s v="Kesar Pista"/>
      </sharedItems>
    </cacheField>
    <cacheField name="Location" numFmtId="0">
      <sharedItems count="3">
        <s v="Connaught Place"/>
        <s v="Lajpat Nagar"/>
        <s v="Karol Bagh"/>
      </sharedItems>
    </cacheField>
    <cacheField name="Season" numFmtId="0">
      <sharedItems count="3">
        <s v="Summer"/>
        <s v="Monsoon"/>
        <s v="Winter"/>
      </sharedItems>
    </cacheField>
    <cacheField name="Day_Type" numFmtId="0">
      <sharedItems count="2">
        <s v="Weekday"/>
        <s v="Weekend"/>
      </sharedItems>
    </cacheField>
    <cacheField name="Units_Sold" numFmtId="0">
      <sharedItems containsSemiMixedTypes="0" containsString="0" containsNumber="1" containsInteger="1" minValue="22" maxValue="158"/>
    </cacheField>
    <cacheField name="Selling_Price" numFmtId="0">
      <sharedItems containsSemiMixedTypes="0" containsString="0" containsNumber="1" containsInteger="1" minValue="26" maxValue="65"/>
    </cacheField>
    <cacheField name="Cost_Per_Unit" numFmtId="0">
      <sharedItems containsSemiMixedTypes="0" containsString="0" containsNumber="1" containsInteger="1" minValue="13" maxValue="23"/>
    </cacheField>
    <cacheField name="Weather" numFmtId="0">
      <sharedItems/>
    </cacheField>
    <cacheField name="Festival Day" numFmtId="0">
      <sharedItems/>
    </cacheField>
    <cacheField name="Revenue" numFmtId="0">
      <sharedItems containsSemiMixedTypes="0" containsString="0" containsNumber="1" containsInteger="1" minValue="572" maxValue="7268"/>
    </cacheField>
    <cacheField name="Total Cost" numFmtId="0">
      <sharedItems containsSemiMixedTypes="0" containsString="0" containsNumber="1" containsInteger="1" minValue="286" maxValue="2686"/>
    </cacheField>
    <cacheField name="Profit" numFmtId="0">
      <sharedItems containsSemiMixedTypes="0" containsString="0" containsNumber="1" containsInteger="1" minValue="286" maxValue="4582"/>
    </cacheField>
  </cacheFields>
  <extLst>
    <ext xmlns:x14="http://schemas.microsoft.com/office/spreadsheetml/2009/9/main" uri="{725AE2AE-9491-48be-B2B4-4EB974FC3084}">
      <x14:pivotCacheDefinition pivotCacheId="176980552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yant Bhriguvanshi" refreshedDate="46100.873476736109" createdVersion="8" refreshedVersion="8" minRefreshableVersion="3" recordCount="146" xr:uid="{3245FB6D-5085-9D4E-987C-063C72B9581F}">
  <cacheSource type="worksheet">
    <worksheetSource ref="A1:N147" sheet="Cleaned_Data"/>
  </cacheSource>
  <cacheFields count="14">
    <cacheField name="Date" numFmtId="15">
      <sharedItems containsSemiMixedTypes="0" containsNonDate="0" containsDate="1" containsString="0" minDate="2022-04-01T00:00:00" maxDate="2023-12-26T00:00:00"/>
    </cacheField>
    <cacheField name="Flavour" numFmtId="0">
      <sharedItems count="5">
        <s v="Mango"/>
        <s v="Chocolate"/>
        <s v="Vanilla"/>
        <s v="Strawberry"/>
        <s v="Kesar Pista"/>
      </sharedItems>
    </cacheField>
    <cacheField name="Location" numFmtId="0">
      <sharedItems count="3">
        <s v="Connaught Place"/>
        <s v="Lajpat Nagar"/>
        <s v="Karol Bagh"/>
      </sharedItems>
    </cacheField>
    <cacheField name="Season" numFmtId="0">
      <sharedItems count="3">
        <s v="Summer"/>
        <s v="Monsoon"/>
        <s v="Winter"/>
      </sharedItems>
    </cacheField>
    <cacheField name="Day_Type" numFmtId="0">
      <sharedItems/>
    </cacheField>
    <cacheField name="Units_Sold" numFmtId="0">
      <sharedItems containsSemiMixedTypes="0" containsString="0" containsNumber="1" containsInteger="1" minValue="22" maxValue="158"/>
    </cacheField>
    <cacheField name="Selling_Price" numFmtId="0">
      <sharedItems containsSemiMixedTypes="0" containsString="0" containsNumber="1" containsInteger="1" minValue="26" maxValue="65"/>
    </cacheField>
    <cacheField name="Cost_Per_Unit" numFmtId="0">
      <sharedItems containsSemiMixedTypes="0" containsString="0" containsNumber="1" containsInteger="1" minValue="13" maxValue="23"/>
    </cacheField>
    <cacheField name="Weather" numFmtId="0">
      <sharedItems count="8">
        <s v="Hot"/>
        <s v="Very Hot"/>
        <s v="Rainy"/>
        <s v="Cloudy"/>
        <s v="Cool"/>
        <s v="Cold"/>
        <s v="Very Cold"/>
        <s v="Warm"/>
      </sharedItems>
    </cacheField>
    <cacheField name="Festival Day" numFmtId="0">
      <sharedItems count="2">
        <s v="No"/>
        <s v="Yes"/>
      </sharedItems>
    </cacheField>
    <cacheField name="Revenue" numFmtId="0">
      <sharedItems containsSemiMixedTypes="0" containsString="0" containsNumber="1" containsInteger="1" minValue="572" maxValue="7268"/>
    </cacheField>
    <cacheField name="Total Cost" numFmtId="0">
      <sharedItems containsSemiMixedTypes="0" containsString="0" containsNumber="1" containsInteger="1" minValue="286" maxValue="2686"/>
    </cacheField>
    <cacheField name="Profit" numFmtId="0">
      <sharedItems containsSemiMixedTypes="0" containsString="0" containsNumber="1" containsInteger="1" minValue="286" maxValue="4582"/>
    </cacheField>
    <cacheField name="Year Column" numFmtId="0">
      <sharedItems containsSemiMixedTypes="0" containsString="0" containsNumber="1" containsInteger="1" minValue="2022" maxValue="2023" count="2">
        <n v="2022"/>
        <n v="2023"/>
      </sharedItems>
    </cacheField>
  </cacheFields>
  <extLst>
    <ext xmlns:x14="http://schemas.microsoft.com/office/spreadsheetml/2009/9/main" uri="{725AE2AE-9491-48be-B2B4-4EB974FC3084}">
      <x14:pivotCacheDefinition pivotCacheId="6681329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d v="2022-04-01T00:00:00"/>
    <x v="0"/>
    <s v="Connaught Place"/>
    <x v="0"/>
    <s v="Weekday"/>
    <n v="75"/>
    <n v="35"/>
    <n v="16"/>
    <s v="Hot"/>
    <s v="No"/>
    <n v="2625"/>
    <n v="1200"/>
    <n v="1425"/>
  </r>
  <r>
    <d v="2022-04-02T00:00:00"/>
    <x v="1"/>
    <s v="Lajpat Nagar"/>
    <x v="0"/>
    <s v="Weekend"/>
    <n v="65"/>
    <n v="40"/>
    <n v="18"/>
    <s v="Hot"/>
    <s v="No"/>
    <n v="2600"/>
    <n v="1170"/>
    <n v="1430"/>
  </r>
  <r>
    <d v="2022-04-05T00:00:00"/>
    <x v="2"/>
    <s v="Karol Bagh"/>
    <x v="0"/>
    <s v="Weekday"/>
    <n v="50"/>
    <n v="30"/>
    <n v="13"/>
    <s v="Hot"/>
    <s v="No"/>
    <n v="1500"/>
    <n v="650"/>
    <n v="850"/>
  </r>
  <r>
    <d v="2022-04-08T00:00:00"/>
    <x v="3"/>
    <s v="Connaught Place"/>
    <x v="0"/>
    <s v="Weekend"/>
    <n v="55"/>
    <n v="35"/>
    <n v="15"/>
    <s v="Hot"/>
    <s v="No"/>
    <n v="1925"/>
    <n v="825"/>
    <n v="1100"/>
  </r>
  <r>
    <d v="2022-04-10T00:00:00"/>
    <x v="4"/>
    <s v="Lajpat Nagar"/>
    <x v="0"/>
    <s v="Weekday"/>
    <n v="40"/>
    <n v="55"/>
    <n v="22"/>
    <s v="Hot"/>
    <s v="No"/>
    <n v="2200"/>
    <n v="880"/>
    <n v="1320"/>
  </r>
  <r>
    <d v="2022-04-14T00:00:00"/>
    <x v="0"/>
    <s v="Connaught Place"/>
    <x v="0"/>
    <s v="Weekend"/>
    <n v="130"/>
    <n v="38"/>
    <n v="16"/>
    <s v="Hot"/>
    <s v="Yes"/>
    <n v="4940"/>
    <n v="2080"/>
    <n v="2860"/>
  </r>
  <r>
    <d v="2022-04-14T00:00:00"/>
    <x v="1"/>
    <s v="Karol Bagh"/>
    <x v="0"/>
    <s v="Weekend"/>
    <n v="95"/>
    <n v="42"/>
    <n v="18"/>
    <s v="Hot"/>
    <s v="Yes"/>
    <n v="3990"/>
    <n v="1710"/>
    <n v="2280"/>
  </r>
  <r>
    <d v="2022-04-14T00:00:00"/>
    <x v="3"/>
    <s v="Lajpat Nagar"/>
    <x v="0"/>
    <s v="Weekend"/>
    <n v="85"/>
    <n v="38"/>
    <n v="15"/>
    <s v="Hot"/>
    <s v="Yes"/>
    <n v="3230"/>
    <n v="1275"/>
    <n v="1955"/>
  </r>
  <r>
    <d v="2022-04-18T00:00:00"/>
    <x v="2"/>
    <s v="Connaught Place"/>
    <x v="0"/>
    <s v="Weekday"/>
    <n v="55"/>
    <n v="30"/>
    <n v="13"/>
    <s v="Hot"/>
    <s v="No"/>
    <n v="1650"/>
    <n v="715"/>
    <n v="935"/>
  </r>
  <r>
    <d v="2022-04-22T00:00:00"/>
    <x v="0"/>
    <s v="Karol Bagh"/>
    <x v="0"/>
    <s v="Weekday"/>
    <n v="80"/>
    <n v="35"/>
    <n v="16"/>
    <s v="Hot"/>
    <s v="No"/>
    <n v="2800"/>
    <n v="1280"/>
    <n v="1520"/>
  </r>
  <r>
    <d v="2022-04-25T00:00:00"/>
    <x v="1"/>
    <s v="Connaught Place"/>
    <x v="0"/>
    <s v="Weekend"/>
    <n v="90"/>
    <n v="40"/>
    <n v="18"/>
    <s v="Hot"/>
    <s v="No"/>
    <n v="3600"/>
    <n v="1620"/>
    <n v="1980"/>
  </r>
  <r>
    <d v="2022-05-01T00:00:00"/>
    <x v="0"/>
    <s v="Connaught Place"/>
    <x v="0"/>
    <s v="Weekday"/>
    <n v="90"/>
    <n v="38"/>
    <n v="16"/>
    <s v="Hot"/>
    <s v="No"/>
    <n v="3420"/>
    <n v="1440"/>
    <n v="1980"/>
  </r>
  <r>
    <d v="2022-05-05T00:00:00"/>
    <x v="4"/>
    <s v="Lajpat Nagar"/>
    <x v="0"/>
    <s v="Weekend"/>
    <n v="55"/>
    <n v="58"/>
    <n v="22"/>
    <s v="Hot"/>
    <s v="No"/>
    <n v="3190"/>
    <n v="1210"/>
    <n v="1980"/>
  </r>
  <r>
    <d v="2022-05-08T00:00:00"/>
    <x v="2"/>
    <s v="Karol Bagh"/>
    <x v="0"/>
    <s v="Weekday"/>
    <n v="60"/>
    <n v="30"/>
    <n v="13"/>
    <s v="Very Hot"/>
    <s v="No"/>
    <n v="1800"/>
    <n v="780"/>
    <n v="1020"/>
  </r>
  <r>
    <d v="2022-05-12T00:00:00"/>
    <x v="0"/>
    <s v="Connaught Place"/>
    <x v="0"/>
    <s v="Weekend"/>
    <n v="140"/>
    <n v="40"/>
    <n v="16"/>
    <s v="Very Hot"/>
    <s v="No"/>
    <n v="5600"/>
    <n v="2240"/>
    <n v="3360"/>
  </r>
  <r>
    <d v="2022-05-15T00:00:00"/>
    <x v="1"/>
    <s v="Lajpat Nagar"/>
    <x v="0"/>
    <s v="Weekday"/>
    <n v="85"/>
    <n v="42"/>
    <n v="18"/>
    <s v="Very Hot"/>
    <s v="No"/>
    <n v="3570"/>
    <n v="1530"/>
    <n v="2040"/>
  </r>
  <r>
    <d v="2022-05-18T00:00:00"/>
    <x v="3"/>
    <s v="Karol Bagh"/>
    <x v="0"/>
    <s v="Weekend"/>
    <n v="100"/>
    <n v="38"/>
    <n v="15"/>
    <s v="Very Hot"/>
    <s v="No"/>
    <n v="3800"/>
    <n v="1500"/>
    <n v="2300"/>
  </r>
  <r>
    <d v="2022-05-22T00:00:00"/>
    <x v="0"/>
    <s v="Connaught Place"/>
    <x v="0"/>
    <s v="Weekday"/>
    <n v="105"/>
    <n v="40"/>
    <n v="16"/>
    <s v="Very Hot"/>
    <s v="No"/>
    <n v="4200"/>
    <n v="1680"/>
    <n v="2520"/>
  </r>
  <r>
    <d v="2022-05-25T00:00:00"/>
    <x v="4"/>
    <s v="Connaught Place"/>
    <x v="0"/>
    <s v="Weekend"/>
    <n v="65"/>
    <n v="60"/>
    <n v="22"/>
    <s v="Very Hot"/>
    <s v="No"/>
    <n v="3900"/>
    <n v="1430"/>
    <n v="2470"/>
  </r>
  <r>
    <d v="2022-05-28T00:00:00"/>
    <x v="2"/>
    <s v="Lajpat Nagar"/>
    <x v="0"/>
    <s v="Weekday"/>
    <n v="65"/>
    <n v="32"/>
    <n v="13"/>
    <s v="Very Hot"/>
    <s v="No"/>
    <n v="2080"/>
    <n v="845"/>
    <n v="1235"/>
  </r>
  <r>
    <d v="2022-06-01T00:00:00"/>
    <x v="0"/>
    <s v="Connaught Place"/>
    <x v="0"/>
    <s v="Weekday"/>
    <n v="120"/>
    <n v="42"/>
    <n v="16"/>
    <s v="Very Hot"/>
    <s v="No"/>
    <n v="5040"/>
    <n v="1920"/>
    <n v="3120"/>
  </r>
  <r>
    <d v="2022-06-05T00:00:00"/>
    <x v="1"/>
    <s v="Karol Bagh"/>
    <x v="0"/>
    <s v="Weekend"/>
    <n v="110"/>
    <n v="44"/>
    <n v="18"/>
    <s v="Very Hot"/>
    <s v="No"/>
    <n v="4840"/>
    <n v="1980"/>
    <n v="2860"/>
  </r>
  <r>
    <d v="2022-06-08T00:00:00"/>
    <x v="3"/>
    <s v="Lajpat Nagar"/>
    <x v="0"/>
    <s v="Weekday"/>
    <n v="95"/>
    <n v="40"/>
    <n v="15"/>
    <s v="Very Hot"/>
    <s v="No"/>
    <n v="3800"/>
    <n v="1425"/>
    <n v="2375"/>
  </r>
  <r>
    <d v="2022-06-12T00:00:00"/>
    <x v="0"/>
    <s v="Connaught Place"/>
    <x v="0"/>
    <s v="Weekend"/>
    <n v="150"/>
    <n v="44"/>
    <n v="16"/>
    <s v="Very Hot"/>
    <s v="No"/>
    <n v="6600"/>
    <n v="2400"/>
    <n v="4200"/>
  </r>
  <r>
    <d v="2022-06-15T00:00:00"/>
    <x v="4"/>
    <s v="Karol Bagh"/>
    <x v="0"/>
    <s v="Weekday"/>
    <n v="70"/>
    <n v="62"/>
    <n v="22"/>
    <s v="Hot"/>
    <s v="No"/>
    <n v="4340"/>
    <n v="1540"/>
    <n v="2800"/>
  </r>
  <r>
    <d v="2022-06-18T00:00:00"/>
    <x v="2"/>
    <s v="Connaught Place"/>
    <x v="0"/>
    <s v="Weekday"/>
    <n v="75"/>
    <n v="32"/>
    <n v="13"/>
    <s v="Hot"/>
    <s v="No"/>
    <n v="2400"/>
    <n v="975"/>
    <n v="1425"/>
  </r>
  <r>
    <d v="2022-06-22T00:00:00"/>
    <x v="1"/>
    <s v="Lajpat Nagar"/>
    <x v="0"/>
    <s v="Weekend"/>
    <n v="115"/>
    <n v="44"/>
    <n v="18"/>
    <s v="Hot"/>
    <s v="No"/>
    <n v="5060"/>
    <n v="2070"/>
    <n v="2990"/>
  </r>
  <r>
    <d v="2022-06-25T00:00:00"/>
    <x v="0"/>
    <s v="Karol Bagh"/>
    <x v="0"/>
    <s v="Weekday"/>
    <n v="125"/>
    <n v="42"/>
    <n v="16"/>
    <s v="Hot"/>
    <s v="No"/>
    <n v="5250"/>
    <n v="2000"/>
    <n v="3250"/>
  </r>
  <r>
    <d v="2022-07-01T00:00:00"/>
    <x v="0"/>
    <s v="Connaught Place"/>
    <x v="1"/>
    <s v="Weekday"/>
    <n v="50"/>
    <n v="38"/>
    <n v="16"/>
    <s v="Rainy"/>
    <s v="No"/>
    <n v="1900"/>
    <n v="800"/>
    <n v="1100"/>
  </r>
  <r>
    <d v="2022-07-05T00:00:00"/>
    <x v="1"/>
    <s v="Lajpat Nagar"/>
    <x v="1"/>
    <s v="Weekend"/>
    <n v="65"/>
    <n v="40"/>
    <n v="18"/>
    <s v="Rainy"/>
    <s v="No"/>
    <n v="2600"/>
    <n v="1170"/>
    <n v="1430"/>
  </r>
  <r>
    <d v="2022-07-08T00:00:00"/>
    <x v="2"/>
    <s v="Karol Bagh"/>
    <x v="1"/>
    <s v="Weekday"/>
    <n v="38"/>
    <n v="28"/>
    <n v="13"/>
    <s v="Rainy"/>
    <s v="No"/>
    <n v="1064"/>
    <n v="494"/>
    <n v="570"/>
  </r>
  <r>
    <d v="2022-07-12T00:00:00"/>
    <x v="3"/>
    <s v="Connaught Place"/>
    <x v="1"/>
    <s v="Weekend"/>
    <n v="55"/>
    <n v="35"/>
    <n v="15"/>
    <s v="Cloudy"/>
    <s v="No"/>
    <n v="1925"/>
    <n v="825"/>
    <n v="1100"/>
  </r>
  <r>
    <d v="2022-07-15T00:00:00"/>
    <x v="0"/>
    <s v="Lajpat Nagar"/>
    <x v="1"/>
    <s v="Weekday"/>
    <n v="45"/>
    <n v="36"/>
    <n v="16"/>
    <s v="Rainy"/>
    <s v="No"/>
    <n v="1620"/>
    <n v="720"/>
    <n v="900"/>
  </r>
  <r>
    <d v="2022-07-18T00:00:00"/>
    <x v="1"/>
    <s v="Karol Bagh"/>
    <x v="1"/>
    <s v="Weekday"/>
    <n v="60"/>
    <n v="40"/>
    <n v="18"/>
    <s v="Cloudy"/>
    <s v="No"/>
    <n v="2400"/>
    <n v="1080"/>
    <n v="1320"/>
  </r>
  <r>
    <d v="2022-07-22T00:00:00"/>
    <x v="4"/>
    <s v="Connaught Place"/>
    <x v="1"/>
    <s v="Weekend"/>
    <n v="35"/>
    <n v="55"/>
    <n v="22"/>
    <s v="Cloudy"/>
    <s v="No"/>
    <n v="1925"/>
    <n v="770"/>
    <n v="1155"/>
  </r>
  <r>
    <d v="2022-07-25T00:00:00"/>
    <x v="2"/>
    <s v="Lajpat Nagar"/>
    <x v="1"/>
    <s v="Weekday"/>
    <n v="35"/>
    <n v="28"/>
    <n v="13"/>
    <s v="Rainy"/>
    <s v="No"/>
    <n v="980"/>
    <n v="455"/>
    <n v="525"/>
  </r>
  <r>
    <d v="2022-08-01T00:00:00"/>
    <x v="0"/>
    <s v="Connaught Place"/>
    <x v="1"/>
    <s v="Weekday"/>
    <n v="48"/>
    <n v="36"/>
    <n v="16"/>
    <s v="Rainy"/>
    <s v="No"/>
    <n v="1728"/>
    <n v="768"/>
    <n v="960"/>
  </r>
  <r>
    <d v="2022-08-05T00:00:00"/>
    <x v="1"/>
    <s v="Karol Bagh"/>
    <x v="1"/>
    <s v="Weekend"/>
    <n v="70"/>
    <n v="40"/>
    <n v="18"/>
    <s v="Cloudy"/>
    <s v="No"/>
    <n v="2800"/>
    <n v="1260"/>
    <n v="1540"/>
  </r>
  <r>
    <d v="2022-08-08T00:00:00"/>
    <x v="3"/>
    <s v="Lajpat Nagar"/>
    <x v="1"/>
    <s v="Weekday"/>
    <n v="50"/>
    <n v="33"/>
    <n v="15"/>
    <s v="Rainy"/>
    <s v="No"/>
    <n v="1650"/>
    <n v="750"/>
    <n v="900"/>
  </r>
  <r>
    <d v="2022-08-15T00:00:00"/>
    <x v="0"/>
    <s v="Connaught Place"/>
    <x v="1"/>
    <s v="Weekend"/>
    <n v="90"/>
    <n v="40"/>
    <n v="16"/>
    <s v="Cloudy"/>
    <s v="Yes"/>
    <n v="3600"/>
    <n v="1440"/>
    <n v="2160"/>
  </r>
  <r>
    <d v="2022-08-15T00:00:00"/>
    <x v="1"/>
    <s v="Lajpat Nagar"/>
    <x v="1"/>
    <s v="Weekend"/>
    <n v="80"/>
    <n v="44"/>
    <n v="18"/>
    <s v="Cloudy"/>
    <s v="Yes"/>
    <n v="3520"/>
    <n v="1440"/>
    <n v="2080"/>
  </r>
  <r>
    <d v="2022-08-15T00:00:00"/>
    <x v="4"/>
    <s v="Karol Bagh"/>
    <x v="1"/>
    <s v="Weekend"/>
    <n v="55"/>
    <n v="60"/>
    <n v="22"/>
    <s v="Cloudy"/>
    <s v="Yes"/>
    <n v="3300"/>
    <n v="1210"/>
    <n v="2090"/>
  </r>
  <r>
    <d v="2022-08-20T00:00:00"/>
    <x v="2"/>
    <s v="Connaught Place"/>
    <x v="1"/>
    <s v="Weekday"/>
    <n v="40"/>
    <n v="28"/>
    <n v="13"/>
    <s v="Rainy"/>
    <s v="No"/>
    <n v="1120"/>
    <n v="520"/>
    <n v="600"/>
  </r>
  <r>
    <d v="2022-08-25T00:00:00"/>
    <x v="0"/>
    <s v="Lajpat Nagar"/>
    <x v="1"/>
    <s v="Weekday"/>
    <n v="52"/>
    <n v="36"/>
    <n v="16"/>
    <s v="Cloudy"/>
    <s v="No"/>
    <n v="1872"/>
    <n v="832"/>
    <n v="1040"/>
  </r>
  <r>
    <d v="2022-09-01T00:00:00"/>
    <x v="1"/>
    <s v="Karol Bagh"/>
    <x v="1"/>
    <s v="Weekend"/>
    <n v="68"/>
    <n v="40"/>
    <n v="18"/>
    <s v="Cloudy"/>
    <s v="No"/>
    <n v="2720"/>
    <n v="1224"/>
    <n v="1496"/>
  </r>
  <r>
    <d v="2022-09-08T00:00:00"/>
    <x v="3"/>
    <s v="Connaught Place"/>
    <x v="1"/>
    <s v="Weekday"/>
    <n v="48"/>
    <n v="33"/>
    <n v="15"/>
    <s v="Cloudy"/>
    <s v="No"/>
    <n v="1584"/>
    <n v="720"/>
    <n v="864"/>
  </r>
  <r>
    <d v="2022-09-15T00:00:00"/>
    <x v="0"/>
    <s v="Lajpat Nagar"/>
    <x v="1"/>
    <s v="Weekend"/>
    <n v="60"/>
    <n v="36"/>
    <n v="16"/>
    <s v="Cloudy"/>
    <s v="No"/>
    <n v="2160"/>
    <n v="960"/>
    <n v="1200"/>
  </r>
  <r>
    <d v="2022-09-22T00:00:00"/>
    <x v="2"/>
    <s v="Karol Bagh"/>
    <x v="1"/>
    <s v="Weekday"/>
    <n v="38"/>
    <n v="28"/>
    <n v="13"/>
    <s v="Cloudy"/>
    <s v="No"/>
    <n v="1064"/>
    <n v="494"/>
    <n v="570"/>
  </r>
  <r>
    <d v="2022-10-01T00:00:00"/>
    <x v="0"/>
    <s v="Connaught Place"/>
    <x v="2"/>
    <s v="Weekday"/>
    <n v="38"/>
    <n v="32"/>
    <n v="16"/>
    <s v="Cool"/>
    <s v="No"/>
    <n v="1216"/>
    <n v="608"/>
    <n v="608"/>
  </r>
  <r>
    <d v="2022-10-05T00:00:00"/>
    <x v="1"/>
    <s v="Lajpat Nagar"/>
    <x v="2"/>
    <s v="Weekend"/>
    <n v="55"/>
    <n v="38"/>
    <n v="18"/>
    <s v="Cool"/>
    <s v="No"/>
    <n v="2090"/>
    <n v="990"/>
    <n v="1100"/>
  </r>
  <r>
    <d v="2022-10-08T00:00:00"/>
    <x v="4"/>
    <s v="Karol Bagh"/>
    <x v="2"/>
    <s v="Weekday"/>
    <n v="30"/>
    <n v="52"/>
    <n v="22"/>
    <s v="Cool"/>
    <s v="No"/>
    <n v="1560"/>
    <n v="660"/>
    <n v="900"/>
  </r>
  <r>
    <d v="2022-10-12T00:00:00"/>
    <x v="2"/>
    <s v="Connaught Place"/>
    <x v="2"/>
    <s v="Weekday"/>
    <n v="28"/>
    <n v="26"/>
    <n v="13"/>
    <s v="Cool"/>
    <s v="No"/>
    <n v="728"/>
    <n v="364"/>
    <n v="364"/>
  </r>
  <r>
    <d v="2022-10-15T00:00:00"/>
    <x v="3"/>
    <s v="Lajpat Nagar"/>
    <x v="2"/>
    <s v="Weekend"/>
    <n v="42"/>
    <n v="32"/>
    <n v="15"/>
    <s v="Cool"/>
    <s v="No"/>
    <n v="1344"/>
    <n v="630"/>
    <n v="714"/>
  </r>
  <r>
    <d v="2022-10-20T00:00:00"/>
    <x v="0"/>
    <s v="Connaught Place"/>
    <x v="2"/>
    <s v="Weekend"/>
    <n v="62"/>
    <n v="35"/>
    <n v="16"/>
    <s v="Cool"/>
    <s v="Yes"/>
    <n v="2170"/>
    <n v="992"/>
    <n v="1178"/>
  </r>
  <r>
    <d v="2022-10-20T00:00:00"/>
    <x v="1"/>
    <s v="Karol Bagh"/>
    <x v="2"/>
    <s v="Weekend"/>
    <n v="75"/>
    <n v="42"/>
    <n v="18"/>
    <s v="Cool"/>
    <s v="Yes"/>
    <n v="3150"/>
    <n v="1350"/>
    <n v="1800"/>
  </r>
  <r>
    <d v="2022-10-25T00:00:00"/>
    <x v="0"/>
    <s v="Lajpat Nagar"/>
    <x v="2"/>
    <s v="Weekday"/>
    <n v="35"/>
    <n v="32"/>
    <n v="16"/>
    <s v="Cool"/>
    <s v="No"/>
    <n v="1120"/>
    <n v="560"/>
    <n v="560"/>
  </r>
  <r>
    <d v="2022-11-01T00:00:00"/>
    <x v="1"/>
    <s v="Connaught Place"/>
    <x v="2"/>
    <s v="Weekday"/>
    <n v="42"/>
    <n v="38"/>
    <n v="18"/>
    <s v="Cold"/>
    <s v="No"/>
    <n v="1596"/>
    <n v="756"/>
    <n v="840"/>
  </r>
  <r>
    <d v="2022-11-05T00:00:00"/>
    <x v="2"/>
    <s v="Karol Bagh"/>
    <x v="2"/>
    <s v="Weekday"/>
    <n v="25"/>
    <n v="26"/>
    <n v="13"/>
    <s v="Cold"/>
    <s v="No"/>
    <n v="650"/>
    <n v="325"/>
    <n v="325"/>
  </r>
  <r>
    <d v="2022-11-08T00:00:00"/>
    <x v="3"/>
    <s v="Lajpat Nagar"/>
    <x v="2"/>
    <s v="Weekend"/>
    <n v="38"/>
    <n v="30"/>
    <n v="15"/>
    <s v="Cold"/>
    <s v="No"/>
    <n v="1140"/>
    <n v="570"/>
    <n v="570"/>
  </r>
  <r>
    <d v="2022-11-12T00:00:00"/>
    <x v="4"/>
    <s v="Connaught Place"/>
    <x v="2"/>
    <s v="Weekday"/>
    <n v="28"/>
    <n v="50"/>
    <n v="22"/>
    <s v="Cold"/>
    <s v="No"/>
    <n v="1400"/>
    <n v="616"/>
    <n v="784"/>
  </r>
  <r>
    <d v="2022-12-01T00:00:00"/>
    <x v="1"/>
    <s v="Lajpat Nagar"/>
    <x v="2"/>
    <s v="Weekday"/>
    <n v="40"/>
    <n v="38"/>
    <n v="18"/>
    <s v="Cold"/>
    <s v="No"/>
    <n v="1520"/>
    <n v="720"/>
    <n v="800"/>
  </r>
  <r>
    <d v="2022-12-10T00:00:00"/>
    <x v="2"/>
    <s v="Karol Bagh"/>
    <x v="2"/>
    <s v="Weekday"/>
    <n v="22"/>
    <n v="26"/>
    <n v="13"/>
    <s v="Cold"/>
    <s v="No"/>
    <n v="572"/>
    <n v="286"/>
    <n v="286"/>
  </r>
  <r>
    <d v="2022-12-15T00:00:00"/>
    <x v="0"/>
    <s v="Connaught Place"/>
    <x v="2"/>
    <s v="Weekend"/>
    <n v="32"/>
    <n v="32"/>
    <n v="16"/>
    <s v="Cold"/>
    <s v="No"/>
    <n v="1024"/>
    <n v="512"/>
    <n v="512"/>
  </r>
  <r>
    <d v="2022-12-25T00:00:00"/>
    <x v="1"/>
    <s v="Connaught Place"/>
    <x v="2"/>
    <s v="Weekend"/>
    <n v="88"/>
    <n v="44"/>
    <n v="18"/>
    <s v="Cold"/>
    <s v="Yes"/>
    <n v="3872"/>
    <n v="1584"/>
    <n v="2288"/>
  </r>
  <r>
    <d v="2022-12-25T00:00:00"/>
    <x v="3"/>
    <s v="Lajpat Nagar"/>
    <x v="2"/>
    <s v="Weekend"/>
    <n v="65"/>
    <n v="38"/>
    <n v="15"/>
    <s v="Cold"/>
    <s v="Yes"/>
    <n v="2470"/>
    <n v="975"/>
    <n v="1495"/>
  </r>
  <r>
    <d v="2022-12-25T00:00:00"/>
    <x v="4"/>
    <s v="Karol Bagh"/>
    <x v="2"/>
    <s v="Weekend"/>
    <n v="50"/>
    <n v="58"/>
    <n v="22"/>
    <s v="Cold"/>
    <s v="Yes"/>
    <n v="2900"/>
    <n v="1100"/>
    <n v="1800"/>
  </r>
  <r>
    <d v="2023-01-01T00:00:00"/>
    <x v="2"/>
    <s v="Karol Bagh"/>
    <x v="2"/>
    <s v="Weekday"/>
    <n v="22"/>
    <n v="26"/>
    <n v="13"/>
    <s v="Very Cold"/>
    <s v="No"/>
    <n v="572"/>
    <n v="286"/>
    <n v="286"/>
  </r>
  <r>
    <d v="2023-01-08T00:00:00"/>
    <x v="1"/>
    <s v="Connaught Place"/>
    <x v="2"/>
    <s v="Weekday"/>
    <n v="38"/>
    <n v="38"/>
    <n v="18"/>
    <s v="Very Cold"/>
    <s v="No"/>
    <n v="1444"/>
    <n v="684"/>
    <n v="760"/>
  </r>
  <r>
    <d v="2023-01-15T00:00:00"/>
    <x v="0"/>
    <s v="Lajpat Nagar"/>
    <x v="2"/>
    <s v="Weekday"/>
    <n v="28"/>
    <n v="30"/>
    <n v="16"/>
    <s v="Very Cold"/>
    <s v="No"/>
    <n v="840"/>
    <n v="448"/>
    <n v="392"/>
  </r>
  <r>
    <d v="2023-01-22T00:00:00"/>
    <x v="3"/>
    <s v="Karol Bagh"/>
    <x v="2"/>
    <s v="Weekday"/>
    <n v="25"/>
    <n v="28"/>
    <n v="15"/>
    <s v="Cold"/>
    <s v="No"/>
    <n v="700"/>
    <n v="375"/>
    <n v="325"/>
  </r>
  <r>
    <d v="2023-01-26T00:00:00"/>
    <x v="0"/>
    <s v="Connaught Place"/>
    <x v="2"/>
    <s v="Weekend"/>
    <n v="58"/>
    <n v="35"/>
    <n v="16"/>
    <s v="Cold"/>
    <s v="Yes"/>
    <n v="2030"/>
    <n v="928"/>
    <n v="1102"/>
  </r>
  <r>
    <d v="2023-01-26T00:00:00"/>
    <x v="1"/>
    <s v="Lajpat Nagar"/>
    <x v="2"/>
    <s v="Weekend"/>
    <n v="65"/>
    <n v="40"/>
    <n v="18"/>
    <s v="Cold"/>
    <s v="Yes"/>
    <n v="2600"/>
    <n v="1170"/>
    <n v="1430"/>
  </r>
  <r>
    <d v="2023-01-26T00:00:00"/>
    <x v="4"/>
    <s v="Karol Bagh"/>
    <x v="2"/>
    <s v="Weekend"/>
    <n v="42"/>
    <n v="55"/>
    <n v="22"/>
    <s v="Cold"/>
    <s v="Yes"/>
    <n v="2310"/>
    <n v="924"/>
    <n v="1386"/>
  </r>
  <r>
    <d v="2023-02-01T00:00:00"/>
    <x v="2"/>
    <s v="Connaught Place"/>
    <x v="2"/>
    <s v="Weekday"/>
    <n v="25"/>
    <n v="26"/>
    <n v="13"/>
    <s v="Cold"/>
    <s v="No"/>
    <n v="650"/>
    <n v="325"/>
    <n v="325"/>
  </r>
  <r>
    <d v="2023-02-10T00:00:00"/>
    <x v="1"/>
    <s v="Lajpat Nagar"/>
    <x v="2"/>
    <s v="Weekend"/>
    <n v="48"/>
    <n v="38"/>
    <n v="18"/>
    <s v="Cool"/>
    <s v="No"/>
    <n v="1824"/>
    <n v="864"/>
    <n v="960"/>
  </r>
  <r>
    <d v="2023-02-15T00:00:00"/>
    <x v="3"/>
    <s v="Karol Bagh"/>
    <x v="2"/>
    <s v="Weekday"/>
    <n v="32"/>
    <n v="30"/>
    <n v="15"/>
    <s v="Cool"/>
    <s v="No"/>
    <n v="960"/>
    <n v="480"/>
    <n v="480"/>
  </r>
  <r>
    <d v="2023-03-01T00:00:00"/>
    <x v="0"/>
    <s v="Connaught Place"/>
    <x v="0"/>
    <s v="Weekday"/>
    <n v="65"/>
    <n v="35"/>
    <n v="16"/>
    <s v="Warm"/>
    <s v="No"/>
    <n v="2275"/>
    <n v="1040"/>
    <n v="1235"/>
  </r>
  <r>
    <d v="2023-03-08T00:00:00"/>
    <x v="2"/>
    <s v="Lajpat Nagar"/>
    <x v="0"/>
    <s v="Weekday"/>
    <n v="45"/>
    <n v="28"/>
    <n v="13"/>
    <s v="Warm"/>
    <s v="Yes"/>
    <n v="1260"/>
    <n v="585"/>
    <n v="675"/>
  </r>
  <r>
    <d v="2023-03-15T00:00:00"/>
    <x v="1"/>
    <s v="Karol Bagh"/>
    <x v="0"/>
    <s v="Weekday"/>
    <n v="58"/>
    <n v="38"/>
    <n v="18"/>
    <s v="Warm"/>
    <s v="No"/>
    <n v="2204"/>
    <n v="1044"/>
    <n v="1160"/>
  </r>
  <r>
    <d v="2023-03-22T00:00:00"/>
    <x v="0"/>
    <s v="Connaught Place"/>
    <x v="0"/>
    <s v="Weekend"/>
    <n v="88"/>
    <n v="38"/>
    <n v="16"/>
    <s v="Hot"/>
    <s v="No"/>
    <n v="3344"/>
    <n v="1408"/>
    <n v="1936"/>
  </r>
  <r>
    <d v="2023-03-25T00:00:00"/>
    <x v="3"/>
    <s v="Lajpat Nagar"/>
    <x v="0"/>
    <s v="Weekend"/>
    <n v="70"/>
    <n v="35"/>
    <n v="15"/>
    <s v="Hot"/>
    <s v="No"/>
    <n v="2450"/>
    <n v="1050"/>
    <n v="1400"/>
  </r>
  <r>
    <d v="2023-04-01T00:00:00"/>
    <x v="0"/>
    <s v="Connaught Place"/>
    <x v="0"/>
    <s v="Weekday"/>
    <n v="80"/>
    <n v="36"/>
    <n v="17"/>
    <s v="Hot"/>
    <s v="No"/>
    <n v="2880"/>
    <n v="1360"/>
    <n v="1520"/>
  </r>
  <r>
    <d v="2023-04-05T00:00:00"/>
    <x v="1"/>
    <s v="Lajpat Nagar"/>
    <x v="0"/>
    <s v="Weekend"/>
    <n v="72"/>
    <n v="42"/>
    <n v="19"/>
    <s v="Hot"/>
    <s v="No"/>
    <n v="3024"/>
    <n v="1368"/>
    <n v="1656"/>
  </r>
  <r>
    <d v="2023-04-08T00:00:00"/>
    <x v="2"/>
    <s v="Karol Bagh"/>
    <x v="0"/>
    <s v="Weekday"/>
    <n v="55"/>
    <n v="30"/>
    <n v="14"/>
    <s v="Hot"/>
    <s v="No"/>
    <n v="1650"/>
    <n v="770"/>
    <n v="880"/>
  </r>
  <r>
    <d v="2023-04-12T00:00:00"/>
    <x v="3"/>
    <s v="Connaught Place"/>
    <x v="0"/>
    <s v="Weekend"/>
    <n v="62"/>
    <n v="36"/>
    <n v="16"/>
    <s v="Hot"/>
    <s v="No"/>
    <n v="2232"/>
    <n v="992"/>
    <n v="1240"/>
  </r>
  <r>
    <d v="2023-04-14T00:00:00"/>
    <x v="0"/>
    <s v="Connaught Place"/>
    <x v="0"/>
    <s v="Weekend"/>
    <n v="140"/>
    <n v="40"/>
    <n v="17"/>
    <s v="Hot"/>
    <s v="Yes"/>
    <n v="5600"/>
    <n v="2380"/>
    <n v="3220"/>
  </r>
  <r>
    <d v="2023-04-14T00:00:00"/>
    <x v="4"/>
    <s v="Lajpat Nagar"/>
    <x v="0"/>
    <s v="Weekend"/>
    <n v="75"/>
    <n v="60"/>
    <n v="23"/>
    <s v="Hot"/>
    <s v="Yes"/>
    <n v="4500"/>
    <n v="1725"/>
    <n v="2775"/>
  </r>
  <r>
    <d v="2023-04-14T00:00:00"/>
    <x v="1"/>
    <s v="Karol Bagh"/>
    <x v="0"/>
    <s v="Weekend"/>
    <n v="100"/>
    <n v="44"/>
    <n v="19"/>
    <s v="Hot"/>
    <s v="Yes"/>
    <n v="4400"/>
    <n v="1900"/>
    <n v="2500"/>
  </r>
  <r>
    <d v="2023-04-18T00:00:00"/>
    <x v="2"/>
    <s v="Connaught Place"/>
    <x v="0"/>
    <s v="Weekday"/>
    <n v="58"/>
    <n v="30"/>
    <n v="14"/>
    <s v="Hot"/>
    <s v="No"/>
    <n v="1740"/>
    <n v="812"/>
    <n v="928"/>
  </r>
  <r>
    <d v="2023-04-22T00:00:00"/>
    <x v="0"/>
    <s v="Karol Bagh"/>
    <x v="0"/>
    <s v="Weekday"/>
    <n v="85"/>
    <n v="36"/>
    <n v="17"/>
    <s v="Hot"/>
    <s v="No"/>
    <n v="3060"/>
    <n v="1445"/>
    <n v="1615"/>
  </r>
  <r>
    <d v="2023-04-25T00:00:00"/>
    <x v="1"/>
    <s v="Lajpat Nagar"/>
    <x v="0"/>
    <s v="Weekend"/>
    <n v="95"/>
    <n v="42"/>
    <n v="19"/>
    <s v="Hot"/>
    <s v="No"/>
    <n v="3990"/>
    <n v="1805"/>
    <n v="2185"/>
  </r>
  <r>
    <d v="2023-05-01T00:00:00"/>
    <x v="0"/>
    <s v="Connaught Place"/>
    <x v="0"/>
    <s v="Weekday"/>
    <n v="95"/>
    <n v="38"/>
    <n v="17"/>
    <s v="Hot"/>
    <s v="No"/>
    <n v="3610"/>
    <n v="1615"/>
    <n v="1995"/>
  </r>
  <r>
    <d v="2023-05-05T00:00:00"/>
    <x v="4"/>
    <s v="Karol Bagh"/>
    <x v="0"/>
    <s v="Weekend"/>
    <n v="60"/>
    <n v="62"/>
    <n v="23"/>
    <s v="Hot"/>
    <s v="No"/>
    <n v="3720"/>
    <n v="1380"/>
    <n v="2340"/>
  </r>
  <r>
    <d v="2023-05-08T00:00:00"/>
    <x v="2"/>
    <s v="Lajpat Nagar"/>
    <x v="0"/>
    <s v="Weekday"/>
    <n v="62"/>
    <n v="30"/>
    <n v="14"/>
    <s v="Very Hot"/>
    <s v="No"/>
    <n v="1860"/>
    <n v="868"/>
    <n v="992"/>
  </r>
  <r>
    <d v="2023-05-12T00:00:00"/>
    <x v="0"/>
    <s v="Connaught Place"/>
    <x v="0"/>
    <s v="Weekend"/>
    <n v="148"/>
    <n v="42"/>
    <n v="17"/>
    <s v="Very Hot"/>
    <s v="No"/>
    <n v="6216"/>
    <n v="2516"/>
    <n v="3700"/>
  </r>
  <r>
    <d v="2023-05-15T00:00:00"/>
    <x v="1"/>
    <s v="Karol Bagh"/>
    <x v="0"/>
    <s v="Weekday"/>
    <n v="90"/>
    <n v="44"/>
    <n v="19"/>
    <s v="Very Hot"/>
    <s v="No"/>
    <n v="3960"/>
    <n v="1710"/>
    <n v="2250"/>
  </r>
  <r>
    <d v="2023-05-18T00:00:00"/>
    <x v="3"/>
    <s v="Lajpat Nagar"/>
    <x v="0"/>
    <s v="Weekend"/>
    <n v="108"/>
    <n v="40"/>
    <n v="16"/>
    <s v="Very Hot"/>
    <s v="No"/>
    <n v="4320"/>
    <n v="1728"/>
    <n v="2592"/>
  </r>
  <r>
    <d v="2023-05-22T00:00:00"/>
    <x v="0"/>
    <s v="Connaught Place"/>
    <x v="0"/>
    <s v="Weekday"/>
    <n v="112"/>
    <n v="42"/>
    <n v="17"/>
    <s v="Very Hot"/>
    <s v="No"/>
    <n v="4704"/>
    <n v="1904"/>
    <n v="2800"/>
  </r>
  <r>
    <d v="2023-05-25T00:00:00"/>
    <x v="4"/>
    <s v="Connaught Place"/>
    <x v="0"/>
    <s v="Weekend"/>
    <n v="68"/>
    <n v="64"/>
    <n v="23"/>
    <s v="Very Hot"/>
    <s v="No"/>
    <n v="4352"/>
    <n v="1564"/>
    <n v="2788"/>
  </r>
  <r>
    <d v="2023-05-28T00:00:00"/>
    <x v="2"/>
    <s v="Karol Bagh"/>
    <x v="0"/>
    <s v="Weekday"/>
    <n v="68"/>
    <n v="32"/>
    <n v="14"/>
    <s v="Very Hot"/>
    <s v="No"/>
    <n v="2176"/>
    <n v="952"/>
    <n v="1224"/>
  </r>
  <r>
    <d v="2023-06-01T00:00:00"/>
    <x v="0"/>
    <s v="Connaught Place"/>
    <x v="0"/>
    <s v="Weekday"/>
    <n v="125"/>
    <n v="44"/>
    <n v="17"/>
    <s v="Very Hot"/>
    <s v="No"/>
    <n v="5500"/>
    <n v="2125"/>
    <n v="3375"/>
  </r>
  <r>
    <d v="2023-06-05T00:00:00"/>
    <x v="1"/>
    <s v="Lajpat Nagar"/>
    <x v="0"/>
    <s v="Weekend"/>
    <n v="115"/>
    <n v="46"/>
    <n v="19"/>
    <s v="Very Hot"/>
    <s v="No"/>
    <n v="5290"/>
    <n v="2185"/>
    <n v="3105"/>
  </r>
  <r>
    <d v="2023-06-08T00:00:00"/>
    <x v="3"/>
    <s v="Karol Bagh"/>
    <x v="0"/>
    <s v="Weekday"/>
    <n v="100"/>
    <n v="40"/>
    <n v="16"/>
    <s v="Very Hot"/>
    <s v="No"/>
    <n v="4000"/>
    <n v="1600"/>
    <n v="2400"/>
  </r>
  <r>
    <d v="2023-06-12T00:00:00"/>
    <x v="0"/>
    <s v="Connaught Place"/>
    <x v="0"/>
    <s v="Weekend"/>
    <n v="158"/>
    <n v="46"/>
    <n v="17"/>
    <s v="Very Hot"/>
    <s v="No"/>
    <n v="7268"/>
    <n v="2686"/>
    <n v="4582"/>
  </r>
  <r>
    <d v="2023-06-15T00:00:00"/>
    <x v="4"/>
    <s v="Karol Bagh"/>
    <x v="0"/>
    <s v="Weekday"/>
    <n v="72"/>
    <n v="65"/>
    <n v="23"/>
    <s v="Hot"/>
    <s v="No"/>
    <n v="4680"/>
    <n v="1656"/>
    <n v="3024"/>
  </r>
  <r>
    <d v="2023-06-18T00:00:00"/>
    <x v="2"/>
    <s v="Lajpat Nagar"/>
    <x v="0"/>
    <s v="Weekday"/>
    <n v="78"/>
    <n v="32"/>
    <n v="14"/>
    <s v="Hot"/>
    <s v="No"/>
    <n v="2496"/>
    <n v="1092"/>
    <n v="1404"/>
  </r>
  <r>
    <d v="2023-06-22T00:00:00"/>
    <x v="1"/>
    <s v="Connaught Place"/>
    <x v="0"/>
    <s v="Weekend"/>
    <n v="120"/>
    <n v="46"/>
    <n v="19"/>
    <s v="Hot"/>
    <s v="No"/>
    <n v="5520"/>
    <n v="2280"/>
    <n v="3240"/>
  </r>
  <r>
    <d v="2023-06-25T00:00:00"/>
    <x v="0"/>
    <s v="Karol Bagh"/>
    <x v="0"/>
    <s v="Weekday"/>
    <n v="130"/>
    <n v="44"/>
    <n v="17"/>
    <s v="Hot"/>
    <s v="No"/>
    <n v="5720"/>
    <n v="2210"/>
    <n v="3510"/>
  </r>
  <r>
    <d v="2023-07-01T00:00:00"/>
    <x v="0"/>
    <s v="Connaught Place"/>
    <x v="1"/>
    <s v="Weekday"/>
    <n v="52"/>
    <n v="38"/>
    <n v="17"/>
    <s v="Rainy"/>
    <s v="No"/>
    <n v="1976"/>
    <n v="884"/>
    <n v="1092"/>
  </r>
  <r>
    <d v="2023-07-05T00:00:00"/>
    <x v="1"/>
    <s v="Lajpat Nagar"/>
    <x v="1"/>
    <s v="Weekend"/>
    <n v="68"/>
    <n v="42"/>
    <n v="19"/>
    <s v="Rainy"/>
    <s v="No"/>
    <n v="2856"/>
    <n v="1292"/>
    <n v="1564"/>
  </r>
  <r>
    <d v="2023-07-08T00:00:00"/>
    <x v="2"/>
    <s v="Karol Bagh"/>
    <x v="1"/>
    <s v="Weekday"/>
    <n v="40"/>
    <n v="28"/>
    <n v="14"/>
    <s v="Rainy"/>
    <s v="No"/>
    <n v="1120"/>
    <n v="560"/>
    <n v="560"/>
  </r>
  <r>
    <d v="2023-07-12T00:00:00"/>
    <x v="3"/>
    <s v="Connaught Place"/>
    <x v="1"/>
    <s v="Weekend"/>
    <n v="58"/>
    <n v="35"/>
    <n v="16"/>
    <s v="Cloudy"/>
    <s v="No"/>
    <n v="2030"/>
    <n v="928"/>
    <n v="1102"/>
  </r>
  <r>
    <d v="2023-07-15T00:00:00"/>
    <x v="0"/>
    <s v="Lajpat Nagar"/>
    <x v="1"/>
    <s v="Weekday"/>
    <n v="48"/>
    <n v="36"/>
    <n v="17"/>
    <s v="Rainy"/>
    <s v="No"/>
    <n v="1728"/>
    <n v="816"/>
    <n v="912"/>
  </r>
  <r>
    <d v="2023-07-18T00:00:00"/>
    <x v="1"/>
    <s v="Karol Bagh"/>
    <x v="1"/>
    <s v="Weekday"/>
    <n v="62"/>
    <n v="40"/>
    <n v="19"/>
    <s v="Cloudy"/>
    <s v="No"/>
    <n v="2480"/>
    <n v="1178"/>
    <n v="1302"/>
  </r>
  <r>
    <d v="2023-07-22T00:00:00"/>
    <x v="4"/>
    <s v="Connaught Place"/>
    <x v="1"/>
    <s v="Weekend"/>
    <n v="38"/>
    <n v="56"/>
    <n v="23"/>
    <s v="Cloudy"/>
    <s v="No"/>
    <n v="2128"/>
    <n v="874"/>
    <n v="1254"/>
  </r>
  <r>
    <d v="2023-07-25T00:00:00"/>
    <x v="2"/>
    <s v="Lajpat Nagar"/>
    <x v="1"/>
    <s v="Weekday"/>
    <n v="38"/>
    <n v="28"/>
    <n v="14"/>
    <s v="Rainy"/>
    <s v="No"/>
    <n v="1064"/>
    <n v="532"/>
    <n v="532"/>
  </r>
  <r>
    <d v="2023-08-01T00:00:00"/>
    <x v="0"/>
    <s v="Connaught Place"/>
    <x v="1"/>
    <s v="Weekday"/>
    <n v="50"/>
    <n v="36"/>
    <n v="17"/>
    <s v="Rainy"/>
    <s v="No"/>
    <n v="1800"/>
    <n v="850"/>
    <n v="950"/>
  </r>
  <r>
    <d v="2023-08-05T00:00:00"/>
    <x v="1"/>
    <s v="Karol Bagh"/>
    <x v="1"/>
    <s v="Weekend"/>
    <n v="72"/>
    <n v="42"/>
    <n v="19"/>
    <s v="Cloudy"/>
    <s v="No"/>
    <n v="3024"/>
    <n v="1368"/>
    <n v="1656"/>
  </r>
  <r>
    <d v="2023-08-08T00:00:00"/>
    <x v="3"/>
    <s v="Lajpat Nagar"/>
    <x v="1"/>
    <s v="Weekday"/>
    <n v="52"/>
    <n v="33"/>
    <n v="16"/>
    <s v="Rainy"/>
    <s v="No"/>
    <n v="1716"/>
    <n v="832"/>
    <n v="884"/>
  </r>
  <r>
    <d v="2023-08-15T00:00:00"/>
    <x v="0"/>
    <s v="Connaught Place"/>
    <x v="1"/>
    <s v="Weekend"/>
    <n v="95"/>
    <n v="42"/>
    <n v="17"/>
    <s v="Cloudy"/>
    <s v="Yes"/>
    <n v="3990"/>
    <n v="1615"/>
    <n v="2375"/>
  </r>
  <r>
    <d v="2023-08-15T00:00:00"/>
    <x v="1"/>
    <s v="Lajpat Nagar"/>
    <x v="1"/>
    <s v="Weekend"/>
    <n v="85"/>
    <n v="46"/>
    <n v="19"/>
    <s v="Cloudy"/>
    <s v="Yes"/>
    <n v="3910"/>
    <n v="1615"/>
    <n v="2295"/>
  </r>
  <r>
    <d v="2023-08-15T00:00:00"/>
    <x v="4"/>
    <s v="Karol Bagh"/>
    <x v="1"/>
    <s v="Weekend"/>
    <n v="58"/>
    <n v="62"/>
    <n v="23"/>
    <s v="Cloudy"/>
    <s v="Yes"/>
    <n v="3596"/>
    <n v="1334"/>
    <n v="2262"/>
  </r>
  <r>
    <d v="2023-08-20T00:00:00"/>
    <x v="2"/>
    <s v="Connaught Place"/>
    <x v="1"/>
    <s v="Weekday"/>
    <n v="42"/>
    <n v="28"/>
    <n v="14"/>
    <s v="Rainy"/>
    <s v="No"/>
    <n v="1176"/>
    <n v="588"/>
    <n v="588"/>
  </r>
  <r>
    <d v="2023-08-25T00:00:00"/>
    <x v="0"/>
    <s v="Lajpat Nagar"/>
    <x v="1"/>
    <s v="Weekday"/>
    <n v="55"/>
    <n v="36"/>
    <n v="17"/>
    <s v="Cloudy"/>
    <s v="No"/>
    <n v="1980"/>
    <n v="935"/>
    <n v="1045"/>
  </r>
  <r>
    <d v="2023-09-01T00:00:00"/>
    <x v="1"/>
    <s v="Karol Bagh"/>
    <x v="1"/>
    <s v="Weekend"/>
    <n v="70"/>
    <n v="42"/>
    <n v="19"/>
    <s v="Cloudy"/>
    <s v="No"/>
    <n v="2940"/>
    <n v="1330"/>
    <n v="1610"/>
  </r>
  <r>
    <d v="2023-09-08T00:00:00"/>
    <x v="3"/>
    <s v="Connaught Place"/>
    <x v="1"/>
    <s v="Weekday"/>
    <n v="50"/>
    <n v="33"/>
    <n v="16"/>
    <s v="Cloudy"/>
    <s v="No"/>
    <n v="1650"/>
    <n v="800"/>
    <n v="850"/>
  </r>
  <r>
    <d v="2023-09-15T00:00:00"/>
    <x v="0"/>
    <s v="Lajpat Nagar"/>
    <x v="1"/>
    <s v="Weekend"/>
    <n v="62"/>
    <n v="36"/>
    <n v="17"/>
    <s v="Cloudy"/>
    <s v="No"/>
    <n v="2232"/>
    <n v="1054"/>
    <n v="1178"/>
  </r>
  <r>
    <d v="2023-09-22T00:00:00"/>
    <x v="2"/>
    <s v="Karol Bagh"/>
    <x v="1"/>
    <s v="Weekday"/>
    <n v="40"/>
    <n v="28"/>
    <n v="14"/>
    <s v="Cloudy"/>
    <s v="No"/>
    <n v="1120"/>
    <n v="560"/>
    <n v="560"/>
  </r>
  <r>
    <d v="2023-10-01T00:00:00"/>
    <x v="0"/>
    <s v="Connaught Place"/>
    <x v="2"/>
    <s v="Weekday"/>
    <n v="40"/>
    <n v="33"/>
    <n v="17"/>
    <s v="Cool"/>
    <s v="No"/>
    <n v="1320"/>
    <n v="680"/>
    <n v="640"/>
  </r>
  <r>
    <d v="2023-10-05T00:00:00"/>
    <x v="1"/>
    <s v="Lajpat Nagar"/>
    <x v="2"/>
    <s v="Weekend"/>
    <n v="58"/>
    <n v="40"/>
    <n v="19"/>
    <s v="Cool"/>
    <s v="No"/>
    <n v="2320"/>
    <n v="1102"/>
    <n v="1218"/>
  </r>
  <r>
    <d v="2023-10-08T00:00:00"/>
    <x v="4"/>
    <s v="Karol Bagh"/>
    <x v="2"/>
    <s v="Weekday"/>
    <n v="32"/>
    <n v="54"/>
    <n v="23"/>
    <s v="Cool"/>
    <s v="No"/>
    <n v="1728"/>
    <n v="736"/>
    <n v="992"/>
  </r>
  <r>
    <d v="2023-10-12T00:00:00"/>
    <x v="2"/>
    <s v="Connaught Place"/>
    <x v="2"/>
    <s v="Weekday"/>
    <n v="30"/>
    <n v="26"/>
    <n v="14"/>
    <s v="Cool"/>
    <s v="No"/>
    <n v="780"/>
    <n v="420"/>
    <n v="360"/>
  </r>
  <r>
    <d v="2023-10-15T00:00:00"/>
    <x v="3"/>
    <s v="Lajpat Nagar"/>
    <x v="2"/>
    <s v="Weekend"/>
    <n v="44"/>
    <n v="32"/>
    <n v="16"/>
    <s v="Cool"/>
    <s v="No"/>
    <n v="1408"/>
    <n v="704"/>
    <n v="704"/>
  </r>
  <r>
    <d v="2023-10-20T00:00:00"/>
    <x v="0"/>
    <s v="Connaught Place"/>
    <x v="2"/>
    <s v="Weekend"/>
    <n v="68"/>
    <n v="36"/>
    <n v="17"/>
    <s v="Cool"/>
    <s v="Yes"/>
    <n v="2448"/>
    <n v="1156"/>
    <n v="1292"/>
  </r>
  <r>
    <d v="2023-10-20T00:00:00"/>
    <x v="1"/>
    <s v="Karol Bagh"/>
    <x v="2"/>
    <s v="Weekend"/>
    <n v="80"/>
    <n v="44"/>
    <n v="19"/>
    <s v="Cool"/>
    <s v="Yes"/>
    <n v="3520"/>
    <n v="1520"/>
    <n v="2000"/>
  </r>
  <r>
    <d v="2023-10-25T00:00:00"/>
    <x v="0"/>
    <s v="Lajpat Nagar"/>
    <x v="2"/>
    <s v="Weekday"/>
    <n v="38"/>
    <n v="33"/>
    <n v="17"/>
    <s v="Cool"/>
    <s v="No"/>
    <n v="1254"/>
    <n v="646"/>
    <n v="608"/>
  </r>
  <r>
    <d v="2023-11-01T00:00:00"/>
    <x v="1"/>
    <s v="Connaught Place"/>
    <x v="2"/>
    <s v="Weekday"/>
    <n v="45"/>
    <n v="40"/>
    <n v="19"/>
    <s v="Cold"/>
    <s v="No"/>
    <n v="1800"/>
    <n v="855"/>
    <n v="945"/>
  </r>
  <r>
    <d v="2023-11-05T00:00:00"/>
    <x v="2"/>
    <s v="Karol Bagh"/>
    <x v="2"/>
    <s v="Weekday"/>
    <n v="28"/>
    <n v="26"/>
    <n v="14"/>
    <s v="Cold"/>
    <s v="No"/>
    <n v="728"/>
    <n v="392"/>
    <n v="336"/>
  </r>
  <r>
    <d v="2023-11-08T00:00:00"/>
    <x v="3"/>
    <s v="Lajpat Nagar"/>
    <x v="2"/>
    <s v="Weekend"/>
    <n v="40"/>
    <n v="30"/>
    <n v="16"/>
    <s v="Cold"/>
    <s v="No"/>
    <n v="1200"/>
    <n v="640"/>
    <n v="560"/>
  </r>
  <r>
    <d v="2023-11-12T00:00:00"/>
    <x v="4"/>
    <s v="Connaught Place"/>
    <x v="2"/>
    <s v="Weekday"/>
    <n v="30"/>
    <n v="52"/>
    <n v="23"/>
    <s v="Cold"/>
    <s v="No"/>
    <n v="1560"/>
    <n v="690"/>
    <n v="870"/>
  </r>
  <r>
    <d v="2023-12-01T00:00:00"/>
    <x v="1"/>
    <s v="Lajpat Nagar"/>
    <x v="2"/>
    <s v="Weekday"/>
    <n v="42"/>
    <n v="40"/>
    <n v="19"/>
    <s v="Cold"/>
    <s v="No"/>
    <n v="1680"/>
    <n v="798"/>
    <n v="882"/>
  </r>
  <r>
    <d v="2023-12-10T00:00:00"/>
    <x v="2"/>
    <s v="Karol Bagh"/>
    <x v="2"/>
    <s v="Weekday"/>
    <n v="24"/>
    <n v="26"/>
    <n v="14"/>
    <s v="Cold"/>
    <s v="No"/>
    <n v="624"/>
    <n v="336"/>
    <n v="288"/>
  </r>
  <r>
    <d v="2023-12-15T00:00:00"/>
    <x v="0"/>
    <s v="Connaught Place"/>
    <x v="2"/>
    <s v="Weekend"/>
    <n v="35"/>
    <n v="33"/>
    <n v="17"/>
    <s v="Cold"/>
    <s v="No"/>
    <n v="1155"/>
    <n v="595"/>
    <n v="560"/>
  </r>
  <r>
    <d v="2023-12-25T00:00:00"/>
    <x v="1"/>
    <s v="Connaught Place"/>
    <x v="2"/>
    <s v="Weekend"/>
    <n v="92"/>
    <n v="46"/>
    <n v="19"/>
    <s v="Cold"/>
    <s v="Yes"/>
    <n v="4232"/>
    <n v="1748"/>
    <n v="2484"/>
  </r>
  <r>
    <d v="2023-12-25T00:00:00"/>
    <x v="3"/>
    <s v="Lajpat Nagar"/>
    <x v="2"/>
    <s v="Weekend"/>
    <n v="68"/>
    <n v="40"/>
    <n v="16"/>
    <s v="Cold"/>
    <s v="Yes"/>
    <n v="2720"/>
    <n v="1088"/>
    <n v="1632"/>
  </r>
  <r>
    <d v="2023-12-25T00:00:00"/>
    <x v="4"/>
    <s v="Karol Bagh"/>
    <x v="2"/>
    <s v="Weekend"/>
    <n v="52"/>
    <n v="60"/>
    <n v="23"/>
    <s v="Cold"/>
    <s v="Yes"/>
    <n v="3120"/>
    <n v="1196"/>
    <n v="1924"/>
  </r>
  <r>
    <m/>
    <x v="5"/>
    <m/>
    <x v="3"/>
    <m/>
    <m/>
    <m/>
    <m/>
    <m/>
    <m/>
    <m/>
    <m/>
    <m/>
  </r>
  <r>
    <m/>
    <x v="5"/>
    <m/>
    <x v="3"/>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d v="2022-04-01T00:00:00"/>
    <x v="0"/>
    <x v="0"/>
    <x v="0"/>
    <x v="0"/>
    <n v="75"/>
    <n v="35"/>
    <n v="16"/>
    <s v="Hot"/>
    <s v="No"/>
    <n v="2625"/>
    <n v="1200"/>
    <n v="1425"/>
  </r>
  <r>
    <d v="2022-04-02T00:00:00"/>
    <x v="1"/>
    <x v="1"/>
    <x v="0"/>
    <x v="1"/>
    <n v="65"/>
    <n v="40"/>
    <n v="18"/>
    <s v="Hot"/>
    <s v="No"/>
    <n v="2600"/>
    <n v="1170"/>
    <n v="1430"/>
  </r>
  <r>
    <d v="2022-04-05T00:00:00"/>
    <x v="2"/>
    <x v="2"/>
    <x v="0"/>
    <x v="0"/>
    <n v="50"/>
    <n v="30"/>
    <n v="13"/>
    <s v="Hot"/>
    <s v="No"/>
    <n v="1500"/>
    <n v="650"/>
    <n v="850"/>
  </r>
  <r>
    <d v="2022-04-08T00:00:00"/>
    <x v="3"/>
    <x v="0"/>
    <x v="0"/>
    <x v="1"/>
    <n v="55"/>
    <n v="35"/>
    <n v="15"/>
    <s v="Hot"/>
    <s v="No"/>
    <n v="1925"/>
    <n v="825"/>
    <n v="1100"/>
  </r>
  <r>
    <d v="2022-04-10T00:00:00"/>
    <x v="4"/>
    <x v="1"/>
    <x v="0"/>
    <x v="0"/>
    <n v="40"/>
    <n v="55"/>
    <n v="22"/>
    <s v="Hot"/>
    <s v="No"/>
    <n v="2200"/>
    <n v="880"/>
    <n v="1320"/>
  </r>
  <r>
    <d v="2022-04-14T00:00:00"/>
    <x v="0"/>
    <x v="0"/>
    <x v="0"/>
    <x v="1"/>
    <n v="130"/>
    <n v="38"/>
    <n v="16"/>
    <s v="Hot"/>
    <s v="Yes"/>
    <n v="4940"/>
    <n v="2080"/>
    <n v="2860"/>
  </r>
  <r>
    <d v="2022-04-14T00:00:00"/>
    <x v="1"/>
    <x v="2"/>
    <x v="0"/>
    <x v="1"/>
    <n v="95"/>
    <n v="42"/>
    <n v="18"/>
    <s v="Hot"/>
    <s v="Yes"/>
    <n v="3990"/>
    <n v="1710"/>
    <n v="2280"/>
  </r>
  <r>
    <d v="2022-04-14T00:00:00"/>
    <x v="3"/>
    <x v="1"/>
    <x v="0"/>
    <x v="1"/>
    <n v="85"/>
    <n v="38"/>
    <n v="15"/>
    <s v="Hot"/>
    <s v="Yes"/>
    <n v="3230"/>
    <n v="1275"/>
    <n v="1955"/>
  </r>
  <r>
    <d v="2022-04-18T00:00:00"/>
    <x v="2"/>
    <x v="0"/>
    <x v="0"/>
    <x v="0"/>
    <n v="55"/>
    <n v="30"/>
    <n v="13"/>
    <s v="Hot"/>
    <s v="No"/>
    <n v="1650"/>
    <n v="715"/>
    <n v="935"/>
  </r>
  <r>
    <d v="2022-04-22T00:00:00"/>
    <x v="0"/>
    <x v="2"/>
    <x v="0"/>
    <x v="0"/>
    <n v="80"/>
    <n v="35"/>
    <n v="16"/>
    <s v="Hot"/>
    <s v="No"/>
    <n v="2800"/>
    <n v="1280"/>
    <n v="1520"/>
  </r>
  <r>
    <d v="2022-04-25T00:00:00"/>
    <x v="1"/>
    <x v="0"/>
    <x v="0"/>
    <x v="1"/>
    <n v="90"/>
    <n v="40"/>
    <n v="18"/>
    <s v="Hot"/>
    <s v="No"/>
    <n v="3600"/>
    <n v="1620"/>
    <n v="1980"/>
  </r>
  <r>
    <d v="2022-05-01T00:00:00"/>
    <x v="0"/>
    <x v="0"/>
    <x v="0"/>
    <x v="0"/>
    <n v="90"/>
    <n v="38"/>
    <n v="16"/>
    <s v="Hot"/>
    <s v="No"/>
    <n v="3420"/>
    <n v="1440"/>
    <n v="1980"/>
  </r>
  <r>
    <d v="2022-05-05T00:00:00"/>
    <x v="4"/>
    <x v="1"/>
    <x v="0"/>
    <x v="1"/>
    <n v="55"/>
    <n v="58"/>
    <n v="22"/>
    <s v="Hot"/>
    <s v="No"/>
    <n v="3190"/>
    <n v="1210"/>
    <n v="1980"/>
  </r>
  <r>
    <d v="2022-05-08T00:00:00"/>
    <x v="2"/>
    <x v="2"/>
    <x v="0"/>
    <x v="0"/>
    <n v="60"/>
    <n v="30"/>
    <n v="13"/>
    <s v="Very Hot"/>
    <s v="No"/>
    <n v="1800"/>
    <n v="780"/>
    <n v="1020"/>
  </r>
  <r>
    <d v="2022-05-12T00:00:00"/>
    <x v="0"/>
    <x v="0"/>
    <x v="0"/>
    <x v="1"/>
    <n v="140"/>
    <n v="40"/>
    <n v="16"/>
    <s v="Very Hot"/>
    <s v="No"/>
    <n v="5600"/>
    <n v="2240"/>
    <n v="3360"/>
  </r>
  <r>
    <d v="2022-05-15T00:00:00"/>
    <x v="1"/>
    <x v="1"/>
    <x v="0"/>
    <x v="0"/>
    <n v="85"/>
    <n v="42"/>
    <n v="18"/>
    <s v="Very Hot"/>
    <s v="No"/>
    <n v="3570"/>
    <n v="1530"/>
    <n v="2040"/>
  </r>
  <r>
    <d v="2022-05-18T00:00:00"/>
    <x v="3"/>
    <x v="2"/>
    <x v="0"/>
    <x v="1"/>
    <n v="100"/>
    <n v="38"/>
    <n v="15"/>
    <s v="Very Hot"/>
    <s v="No"/>
    <n v="3800"/>
    <n v="1500"/>
    <n v="2300"/>
  </r>
  <r>
    <d v="2022-05-22T00:00:00"/>
    <x v="0"/>
    <x v="0"/>
    <x v="0"/>
    <x v="0"/>
    <n v="105"/>
    <n v="40"/>
    <n v="16"/>
    <s v="Very Hot"/>
    <s v="No"/>
    <n v="4200"/>
    <n v="1680"/>
    <n v="2520"/>
  </r>
  <r>
    <d v="2022-05-25T00:00:00"/>
    <x v="4"/>
    <x v="0"/>
    <x v="0"/>
    <x v="1"/>
    <n v="65"/>
    <n v="60"/>
    <n v="22"/>
    <s v="Very Hot"/>
    <s v="No"/>
    <n v="3900"/>
    <n v="1430"/>
    <n v="2470"/>
  </r>
  <r>
    <d v="2022-05-28T00:00:00"/>
    <x v="2"/>
    <x v="1"/>
    <x v="0"/>
    <x v="0"/>
    <n v="65"/>
    <n v="32"/>
    <n v="13"/>
    <s v="Very Hot"/>
    <s v="No"/>
    <n v="2080"/>
    <n v="845"/>
    <n v="1235"/>
  </r>
  <r>
    <d v="2022-06-01T00:00:00"/>
    <x v="0"/>
    <x v="0"/>
    <x v="0"/>
    <x v="0"/>
    <n v="120"/>
    <n v="42"/>
    <n v="16"/>
    <s v="Very Hot"/>
    <s v="No"/>
    <n v="5040"/>
    <n v="1920"/>
    <n v="3120"/>
  </r>
  <r>
    <d v="2022-06-05T00:00:00"/>
    <x v="1"/>
    <x v="2"/>
    <x v="0"/>
    <x v="1"/>
    <n v="110"/>
    <n v="44"/>
    <n v="18"/>
    <s v="Very Hot"/>
    <s v="No"/>
    <n v="4840"/>
    <n v="1980"/>
    <n v="2860"/>
  </r>
  <r>
    <d v="2022-06-08T00:00:00"/>
    <x v="3"/>
    <x v="1"/>
    <x v="0"/>
    <x v="0"/>
    <n v="95"/>
    <n v="40"/>
    <n v="15"/>
    <s v="Very Hot"/>
    <s v="No"/>
    <n v="3800"/>
    <n v="1425"/>
    <n v="2375"/>
  </r>
  <r>
    <d v="2022-06-12T00:00:00"/>
    <x v="0"/>
    <x v="0"/>
    <x v="0"/>
    <x v="1"/>
    <n v="150"/>
    <n v="44"/>
    <n v="16"/>
    <s v="Very Hot"/>
    <s v="No"/>
    <n v="6600"/>
    <n v="2400"/>
    <n v="4200"/>
  </r>
  <r>
    <d v="2022-06-15T00:00:00"/>
    <x v="4"/>
    <x v="2"/>
    <x v="0"/>
    <x v="0"/>
    <n v="70"/>
    <n v="62"/>
    <n v="22"/>
    <s v="Hot"/>
    <s v="No"/>
    <n v="4340"/>
    <n v="1540"/>
    <n v="2800"/>
  </r>
  <r>
    <d v="2022-06-18T00:00:00"/>
    <x v="2"/>
    <x v="0"/>
    <x v="0"/>
    <x v="0"/>
    <n v="75"/>
    <n v="32"/>
    <n v="13"/>
    <s v="Hot"/>
    <s v="No"/>
    <n v="2400"/>
    <n v="975"/>
    <n v="1425"/>
  </r>
  <r>
    <d v="2022-06-22T00:00:00"/>
    <x v="1"/>
    <x v="1"/>
    <x v="0"/>
    <x v="1"/>
    <n v="115"/>
    <n v="44"/>
    <n v="18"/>
    <s v="Hot"/>
    <s v="No"/>
    <n v="5060"/>
    <n v="2070"/>
    <n v="2990"/>
  </r>
  <r>
    <d v="2022-06-25T00:00:00"/>
    <x v="0"/>
    <x v="2"/>
    <x v="0"/>
    <x v="0"/>
    <n v="125"/>
    <n v="42"/>
    <n v="16"/>
    <s v="Hot"/>
    <s v="No"/>
    <n v="5250"/>
    <n v="2000"/>
    <n v="3250"/>
  </r>
  <r>
    <d v="2022-07-01T00:00:00"/>
    <x v="0"/>
    <x v="0"/>
    <x v="1"/>
    <x v="0"/>
    <n v="50"/>
    <n v="38"/>
    <n v="16"/>
    <s v="Rainy"/>
    <s v="No"/>
    <n v="1900"/>
    <n v="800"/>
    <n v="1100"/>
  </r>
  <r>
    <d v="2022-07-05T00:00:00"/>
    <x v="1"/>
    <x v="1"/>
    <x v="1"/>
    <x v="1"/>
    <n v="65"/>
    <n v="40"/>
    <n v="18"/>
    <s v="Rainy"/>
    <s v="No"/>
    <n v="2600"/>
    <n v="1170"/>
    <n v="1430"/>
  </r>
  <r>
    <d v="2022-07-08T00:00:00"/>
    <x v="2"/>
    <x v="2"/>
    <x v="1"/>
    <x v="0"/>
    <n v="38"/>
    <n v="28"/>
    <n v="13"/>
    <s v="Rainy"/>
    <s v="No"/>
    <n v="1064"/>
    <n v="494"/>
    <n v="570"/>
  </r>
  <r>
    <d v="2022-07-12T00:00:00"/>
    <x v="3"/>
    <x v="0"/>
    <x v="1"/>
    <x v="1"/>
    <n v="55"/>
    <n v="35"/>
    <n v="15"/>
    <s v="Cloudy"/>
    <s v="No"/>
    <n v="1925"/>
    <n v="825"/>
    <n v="1100"/>
  </r>
  <r>
    <d v="2022-07-15T00:00:00"/>
    <x v="0"/>
    <x v="1"/>
    <x v="1"/>
    <x v="0"/>
    <n v="45"/>
    <n v="36"/>
    <n v="16"/>
    <s v="Rainy"/>
    <s v="No"/>
    <n v="1620"/>
    <n v="720"/>
    <n v="900"/>
  </r>
  <r>
    <d v="2022-07-18T00:00:00"/>
    <x v="1"/>
    <x v="2"/>
    <x v="1"/>
    <x v="0"/>
    <n v="60"/>
    <n v="40"/>
    <n v="18"/>
    <s v="Cloudy"/>
    <s v="No"/>
    <n v="2400"/>
    <n v="1080"/>
    <n v="1320"/>
  </r>
  <r>
    <d v="2022-07-22T00:00:00"/>
    <x v="4"/>
    <x v="0"/>
    <x v="1"/>
    <x v="1"/>
    <n v="35"/>
    <n v="55"/>
    <n v="22"/>
    <s v="Cloudy"/>
    <s v="No"/>
    <n v="1925"/>
    <n v="770"/>
    <n v="1155"/>
  </r>
  <r>
    <d v="2022-07-25T00:00:00"/>
    <x v="2"/>
    <x v="1"/>
    <x v="1"/>
    <x v="0"/>
    <n v="35"/>
    <n v="28"/>
    <n v="13"/>
    <s v="Rainy"/>
    <s v="No"/>
    <n v="980"/>
    <n v="455"/>
    <n v="525"/>
  </r>
  <r>
    <d v="2022-08-01T00:00:00"/>
    <x v="0"/>
    <x v="0"/>
    <x v="1"/>
    <x v="0"/>
    <n v="48"/>
    <n v="36"/>
    <n v="16"/>
    <s v="Rainy"/>
    <s v="No"/>
    <n v="1728"/>
    <n v="768"/>
    <n v="960"/>
  </r>
  <r>
    <d v="2022-08-05T00:00:00"/>
    <x v="1"/>
    <x v="2"/>
    <x v="1"/>
    <x v="1"/>
    <n v="70"/>
    <n v="40"/>
    <n v="18"/>
    <s v="Cloudy"/>
    <s v="No"/>
    <n v="2800"/>
    <n v="1260"/>
    <n v="1540"/>
  </r>
  <r>
    <d v="2022-08-08T00:00:00"/>
    <x v="3"/>
    <x v="1"/>
    <x v="1"/>
    <x v="0"/>
    <n v="50"/>
    <n v="33"/>
    <n v="15"/>
    <s v="Rainy"/>
    <s v="No"/>
    <n v="1650"/>
    <n v="750"/>
    <n v="900"/>
  </r>
  <r>
    <d v="2022-08-15T00:00:00"/>
    <x v="0"/>
    <x v="0"/>
    <x v="1"/>
    <x v="1"/>
    <n v="90"/>
    <n v="40"/>
    <n v="16"/>
    <s v="Cloudy"/>
    <s v="Yes"/>
    <n v="3600"/>
    <n v="1440"/>
    <n v="2160"/>
  </r>
  <r>
    <d v="2022-08-15T00:00:00"/>
    <x v="1"/>
    <x v="1"/>
    <x v="1"/>
    <x v="1"/>
    <n v="80"/>
    <n v="44"/>
    <n v="18"/>
    <s v="Cloudy"/>
    <s v="Yes"/>
    <n v="3520"/>
    <n v="1440"/>
    <n v="2080"/>
  </r>
  <r>
    <d v="2022-08-15T00:00:00"/>
    <x v="4"/>
    <x v="2"/>
    <x v="1"/>
    <x v="1"/>
    <n v="55"/>
    <n v="60"/>
    <n v="22"/>
    <s v="Cloudy"/>
    <s v="Yes"/>
    <n v="3300"/>
    <n v="1210"/>
    <n v="2090"/>
  </r>
  <r>
    <d v="2022-08-20T00:00:00"/>
    <x v="2"/>
    <x v="0"/>
    <x v="1"/>
    <x v="0"/>
    <n v="40"/>
    <n v="28"/>
    <n v="13"/>
    <s v="Rainy"/>
    <s v="No"/>
    <n v="1120"/>
    <n v="520"/>
    <n v="600"/>
  </r>
  <r>
    <d v="2022-08-25T00:00:00"/>
    <x v="0"/>
    <x v="1"/>
    <x v="1"/>
    <x v="0"/>
    <n v="52"/>
    <n v="36"/>
    <n v="16"/>
    <s v="Cloudy"/>
    <s v="No"/>
    <n v="1872"/>
    <n v="832"/>
    <n v="1040"/>
  </r>
  <r>
    <d v="2022-09-01T00:00:00"/>
    <x v="1"/>
    <x v="2"/>
    <x v="1"/>
    <x v="1"/>
    <n v="68"/>
    <n v="40"/>
    <n v="18"/>
    <s v="Cloudy"/>
    <s v="No"/>
    <n v="2720"/>
    <n v="1224"/>
    <n v="1496"/>
  </r>
  <r>
    <d v="2022-09-08T00:00:00"/>
    <x v="3"/>
    <x v="0"/>
    <x v="1"/>
    <x v="0"/>
    <n v="48"/>
    <n v="33"/>
    <n v="15"/>
    <s v="Cloudy"/>
    <s v="No"/>
    <n v="1584"/>
    <n v="720"/>
    <n v="864"/>
  </r>
  <r>
    <d v="2022-09-15T00:00:00"/>
    <x v="0"/>
    <x v="1"/>
    <x v="1"/>
    <x v="1"/>
    <n v="60"/>
    <n v="36"/>
    <n v="16"/>
    <s v="Cloudy"/>
    <s v="No"/>
    <n v="2160"/>
    <n v="960"/>
    <n v="1200"/>
  </r>
  <r>
    <d v="2022-09-22T00:00:00"/>
    <x v="2"/>
    <x v="2"/>
    <x v="1"/>
    <x v="0"/>
    <n v="38"/>
    <n v="28"/>
    <n v="13"/>
    <s v="Cloudy"/>
    <s v="No"/>
    <n v="1064"/>
    <n v="494"/>
    <n v="570"/>
  </r>
  <r>
    <d v="2022-10-01T00:00:00"/>
    <x v="0"/>
    <x v="0"/>
    <x v="2"/>
    <x v="0"/>
    <n v="38"/>
    <n v="32"/>
    <n v="16"/>
    <s v="Cool"/>
    <s v="No"/>
    <n v="1216"/>
    <n v="608"/>
    <n v="608"/>
  </r>
  <r>
    <d v="2022-10-05T00:00:00"/>
    <x v="1"/>
    <x v="1"/>
    <x v="2"/>
    <x v="1"/>
    <n v="55"/>
    <n v="38"/>
    <n v="18"/>
    <s v="Cool"/>
    <s v="No"/>
    <n v="2090"/>
    <n v="990"/>
    <n v="1100"/>
  </r>
  <r>
    <d v="2022-10-08T00:00:00"/>
    <x v="4"/>
    <x v="2"/>
    <x v="2"/>
    <x v="0"/>
    <n v="30"/>
    <n v="52"/>
    <n v="22"/>
    <s v="Cool"/>
    <s v="No"/>
    <n v="1560"/>
    <n v="660"/>
    <n v="900"/>
  </r>
  <r>
    <d v="2022-10-12T00:00:00"/>
    <x v="2"/>
    <x v="0"/>
    <x v="2"/>
    <x v="0"/>
    <n v="28"/>
    <n v="26"/>
    <n v="13"/>
    <s v="Cool"/>
    <s v="No"/>
    <n v="728"/>
    <n v="364"/>
    <n v="364"/>
  </r>
  <r>
    <d v="2022-10-15T00:00:00"/>
    <x v="3"/>
    <x v="1"/>
    <x v="2"/>
    <x v="1"/>
    <n v="42"/>
    <n v="32"/>
    <n v="15"/>
    <s v="Cool"/>
    <s v="No"/>
    <n v="1344"/>
    <n v="630"/>
    <n v="714"/>
  </r>
  <r>
    <d v="2022-10-20T00:00:00"/>
    <x v="0"/>
    <x v="0"/>
    <x v="2"/>
    <x v="1"/>
    <n v="62"/>
    <n v="35"/>
    <n v="16"/>
    <s v="Cool"/>
    <s v="Yes"/>
    <n v="2170"/>
    <n v="992"/>
    <n v="1178"/>
  </r>
  <r>
    <d v="2022-10-20T00:00:00"/>
    <x v="1"/>
    <x v="2"/>
    <x v="2"/>
    <x v="1"/>
    <n v="75"/>
    <n v="42"/>
    <n v="18"/>
    <s v="Cool"/>
    <s v="Yes"/>
    <n v="3150"/>
    <n v="1350"/>
    <n v="1800"/>
  </r>
  <r>
    <d v="2022-10-25T00:00:00"/>
    <x v="0"/>
    <x v="1"/>
    <x v="2"/>
    <x v="0"/>
    <n v="35"/>
    <n v="32"/>
    <n v="16"/>
    <s v="Cool"/>
    <s v="No"/>
    <n v="1120"/>
    <n v="560"/>
    <n v="560"/>
  </r>
  <r>
    <d v="2022-11-01T00:00:00"/>
    <x v="1"/>
    <x v="0"/>
    <x v="2"/>
    <x v="0"/>
    <n v="42"/>
    <n v="38"/>
    <n v="18"/>
    <s v="Cold"/>
    <s v="No"/>
    <n v="1596"/>
    <n v="756"/>
    <n v="840"/>
  </r>
  <r>
    <d v="2022-11-05T00:00:00"/>
    <x v="2"/>
    <x v="2"/>
    <x v="2"/>
    <x v="0"/>
    <n v="25"/>
    <n v="26"/>
    <n v="13"/>
    <s v="Cold"/>
    <s v="No"/>
    <n v="650"/>
    <n v="325"/>
    <n v="325"/>
  </r>
  <r>
    <d v="2022-11-08T00:00:00"/>
    <x v="3"/>
    <x v="1"/>
    <x v="2"/>
    <x v="1"/>
    <n v="38"/>
    <n v="30"/>
    <n v="15"/>
    <s v="Cold"/>
    <s v="No"/>
    <n v="1140"/>
    <n v="570"/>
    <n v="570"/>
  </r>
  <r>
    <d v="2022-11-12T00:00:00"/>
    <x v="4"/>
    <x v="0"/>
    <x v="2"/>
    <x v="0"/>
    <n v="28"/>
    <n v="50"/>
    <n v="22"/>
    <s v="Cold"/>
    <s v="No"/>
    <n v="1400"/>
    <n v="616"/>
    <n v="784"/>
  </r>
  <r>
    <d v="2022-12-01T00:00:00"/>
    <x v="1"/>
    <x v="1"/>
    <x v="2"/>
    <x v="0"/>
    <n v="40"/>
    <n v="38"/>
    <n v="18"/>
    <s v="Cold"/>
    <s v="No"/>
    <n v="1520"/>
    <n v="720"/>
    <n v="800"/>
  </r>
  <r>
    <d v="2022-12-10T00:00:00"/>
    <x v="2"/>
    <x v="2"/>
    <x v="2"/>
    <x v="0"/>
    <n v="22"/>
    <n v="26"/>
    <n v="13"/>
    <s v="Cold"/>
    <s v="No"/>
    <n v="572"/>
    <n v="286"/>
    <n v="286"/>
  </r>
  <r>
    <d v="2022-12-15T00:00:00"/>
    <x v="0"/>
    <x v="0"/>
    <x v="2"/>
    <x v="1"/>
    <n v="32"/>
    <n v="32"/>
    <n v="16"/>
    <s v="Cold"/>
    <s v="No"/>
    <n v="1024"/>
    <n v="512"/>
    <n v="512"/>
  </r>
  <r>
    <d v="2022-12-25T00:00:00"/>
    <x v="1"/>
    <x v="0"/>
    <x v="2"/>
    <x v="1"/>
    <n v="88"/>
    <n v="44"/>
    <n v="18"/>
    <s v="Cold"/>
    <s v="Yes"/>
    <n v="3872"/>
    <n v="1584"/>
    <n v="2288"/>
  </r>
  <r>
    <d v="2022-12-25T00:00:00"/>
    <x v="3"/>
    <x v="1"/>
    <x v="2"/>
    <x v="1"/>
    <n v="65"/>
    <n v="38"/>
    <n v="15"/>
    <s v="Cold"/>
    <s v="Yes"/>
    <n v="2470"/>
    <n v="975"/>
    <n v="1495"/>
  </r>
  <r>
    <d v="2022-12-25T00:00:00"/>
    <x v="4"/>
    <x v="2"/>
    <x v="2"/>
    <x v="1"/>
    <n v="50"/>
    <n v="58"/>
    <n v="22"/>
    <s v="Cold"/>
    <s v="Yes"/>
    <n v="2900"/>
    <n v="1100"/>
    <n v="1800"/>
  </r>
  <r>
    <d v="2023-01-01T00:00:00"/>
    <x v="2"/>
    <x v="2"/>
    <x v="2"/>
    <x v="0"/>
    <n v="22"/>
    <n v="26"/>
    <n v="13"/>
    <s v="Very Cold"/>
    <s v="No"/>
    <n v="572"/>
    <n v="286"/>
    <n v="286"/>
  </r>
  <r>
    <d v="2023-01-08T00:00:00"/>
    <x v="1"/>
    <x v="0"/>
    <x v="2"/>
    <x v="0"/>
    <n v="38"/>
    <n v="38"/>
    <n v="18"/>
    <s v="Very Cold"/>
    <s v="No"/>
    <n v="1444"/>
    <n v="684"/>
    <n v="760"/>
  </r>
  <r>
    <d v="2023-01-15T00:00:00"/>
    <x v="0"/>
    <x v="1"/>
    <x v="2"/>
    <x v="0"/>
    <n v="28"/>
    <n v="30"/>
    <n v="16"/>
    <s v="Very Cold"/>
    <s v="No"/>
    <n v="840"/>
    <n v="448"/>
    <n v="392"/>
  </r>
  <r>
    <d v="2023-01-22T00:00:00"/>
    <x v="3"/>
    <x v="2"/>
    <x v="2"/>
    <x v="0"/>
    <n v="25"/>
    <n v="28"/>
    <n v="15"/>
    <s v="Cold"/>
    <s v="No"/>
    <n v="700"/>
    <n v="375"/>
    <n v="325"/>
  </r>
  <r>
    <d v="2023-01-26T00:00:00"/>
    <x v="0"/>
    <x v="0"/>
    <x v="2"/>
    <x v="1"/>
    <n v="58"/>
    <n v="35"/>
    <n v="16"/>
    <s v="Cold"/>
    <s v="Yes"/>
    <n v="2030"/>
    <n v="928"/>
    <n v="1102"/>
  </r>
  <r>
    <d v="2023-01-26T00:00:00"/>
    <x v="1"/>
    <x v="1"/>
    <x v="2"/>
    <x v="1"/>
    <n v="65"/>
    <n v="40"/>
    <n v="18"/>
    <s v="Cold"/>
    <s v="Yes"/>
    <n v="2600"/>
    <n v="1170"/>
    <n v="1430"/>
  </r>
  <r>
    <d v="2023-01-26T00:00:00"/>
    <x v="4"/>
    <x v="2"/>
    <x v="2"/>
    <x v="1"/>
    <n v="42"/>
    <n v="55"/>
    <n v="22"/>
    <s v="Cold"/>
    <s v="Yes"/>
    <n v="2310"/>
    <n v="924"/>
    <n v="1386"/>
  </r>
  <r>
    <d v="2023-02-01T00:00:00"/>
    <x v="2"/>
    <x v="0"/>
    <x v="2"/>
    <x v="0"/>
    <n v="25"/>
    <n v="26"/>
    <n v="13"/>
    <s v="Cold"/>
    <s v="No"/>
    <n v="650"/>
    <n v="325"/>
    <n v="325"/>
  </r>
  <r>
    <d v="2023-02-10T00:00:00"/>
    <x v="1"/>
    <x v="1"/>
    <x v="2"/>
    <x v="1"/>
    <n v="48"/>
    <n v="38"/>
    <n v="18"/>
    <s v="Cool"/>
    <s v="No"/>
    <n v="1824"/>
    <n v="864"/>
    <n v="960"/>
  </r>
  <r>
    <d v="2023-02-15T00:00:00"/>
    <x v="3"/>
    <x v="2"/>
    <x v="2"/>
    <x v="0"/>
    <n v="32"/>
    <n v="30"/>
    <n v="15"/>
    <s v="Cool"/>
    <s v="No"/>
    <n v="960"/>
    <n v="480"/>
    <n v="480"/>
  </r>
  <r>
    <d v="2023-03-01T00:00:00"/>
    <x v="0"/>
    <x v="0"/>
    <x v="0"/>
    <x v="0"/>
    <n v="65"/>
    <n v="35"/>
    <n v="16"/>
    <s v="Warm"/>
    <s v="No"/>
    <n v="2275"/>
    <n v="1040"/>
    <n v="1235"/>
  </r>
  <r>
    <d v="2023-03-08T00:00:00"/>
    <x v="2"/>
    <x v="1"/>
    <x v="0"/>
    <x v="0"/>
    <n v="45"/>
    <n v="28"/>
    <n v="13"/>
    <s v="Warm"/>
    <s v="Yes"/>
    <n v="1260"/>
    <n v="585"/>
    <n v="675"/>
  </r>
  <r>
    <d v="2023-03-15T00:00:00"/>
    <x v="1"/>
    <x v="2"/>
    <x v="0"/>
    <x v="0"/>
    <n v="58"/>
    <n v="38"/>
    <n v="18"/>
    <s v="Warm"/>
    <s v="No"/>
    <n v="2204"/>
    <n v="1044"/>
    <n v="1160"/>
  </r>
  <r>
    <d v="2023-03-22T00:00:00"/>
    <x v="0"/>
    <x v="0"/>
    <x v="0"/>
    <x v="1"/>
    <n v="88"/>
    <n v="38"/>
    <n v="16"/>
    <s v="Hot"/>
    <s v="No"/>
    <n v="3344"/>
    <n v="1408"/>
    <n v="1936"/>
  </r>
  <r>
    <d v="2023-03-25T00:00:00"/>
    <x v="3"/>
    <x v="1"/>
    <x v="0"/>
    <x v="1"/>
    <n v="70"/>
    <n v="35"/>
    <n v="15"/>
    <s v="Hot"/>
    <s v="No"/>
    <n v="2450"/>
    <n v="1050"/>
    <n v="1400"/>
  </r>
  <r>
    <d v="2023-04-01T00:00:00"/>
    <x v="0"/>
    <x v="0"/>
    <x v="0"/>
    <x v="0"/>
    <n v="80"/>
    <n v="36"/>
    <n v="17"/>
    <s v="Hot"/>
    <s v="No"/>
    <n v="2880"/>
    <n v="1360"/>
    <n v="1520"/>
  </r>
  <r>
    <d v="2023-04-05T00:00:00"/>
    <x v="1"/>
    <x v="1"/>
    <x v="0"/>
    <x v="1"/>
    <n v="72"/>
    <n v="42"/>
    <n v="19"/>
    <s v="Hot"/>
    <s v="No"/>
    <n v="3024"/>
    <n v="1368"/>
    <n v="1656"/>
  </r>
  <r>
    <d v="2023-04-08T00:00:00"/>
    <x v="2"/>
    <x v="2"/>
    <x v="0"/>
    <x v="0"/>
    <n v="55"/>
    <n v="30"/>
    <n v="14"/>
    <s v="Hot"/>
    <s v="No"/>
    <n v="1650"/>
    <n v="770"/>
    <n v="880"/>
  </r>
  <r>
    <d v="2023-04-12T00:00:00"/>
    <x v="3"/>
    <x v="0"/>
    <x v="0"/>
    <x v="1"/>
    <n v="62"/>
    <n v="36"/>
    <n v="16"/>
    <s v="Hot"/>
    <s v="No"/>
    <n v="2232"/>
    <n v="992"/>
    <n v="1240"/>
  </r>
  <r>
    <d v="2023-04-14T00:00:00"/>
    <x v="0"/>
    <x v="0"/>
    <x v="0"/>
    <x v="1"/>
    <n v="140"/>
    <n v="40"/>
    <n v="17"/>
    <s v="Hot"/>
    <s v="Yes"/>
    <n v="5600"/>
    <n v="2380"/>
    <n v="3220"/>
  </r>
  <r>
    <d v="2023-04-14T00:00:00"/>
    <x v="4"/>
    <x v="1"/>
    <x v="0"/>
    <x v="1"/>
    <n v="75"/>
    <n v="60"/>
    <n v="23"/>
    <s v="Hot"/>
    <s v="Yes"/>
    <n v="4500"/>
    <n v="1725"/>
    <n v="2775"/>
  </r>
  <r>
    <d v="2023-04-14T00:00:00"/>
    <x v="1"/>
    <x v="2"/>
    <x v="0"/>
    <x v="1"/>
    <n v="100"/>
    <n v="44"/>
    <n v="19"/>
    <s v="Hot"/>
    <s v="Yes"/>
    <n v="4400"/>
    <n v="1900"/>
    <n v="2500"/>
  </r>
  <r>
    <d v="2023-04-18T00:00:00"/>
    <x v="2"/>
    <x v="0"/>
    <x v="0"/>
    <x v="0"/>
    <n v="58"/>
    <n v="30"/>
    <n v="14"/>
    <s v="Hot"/>
    <s v="No"/>
    <n v="1740"/>
    <n v="812"/>
    <n v="928"/>
  </r>
  <r>
    <d v="2023-04-22T00:00:00"/>
    <x v="0"/>
    <x v="2"/>
    <x v="0"/>
    <x v="0"/>
    <n v="85"/>
    <n v="36"/>
    <n v="17"/>
    <s v="Hot"/>
    <s v="No"/>
    <n v="3060"/>
    <n v="1445"/>
    <n v="1615"/>
  </r>
  <r>
    <d v="2023-04-25T00:00:00"/>
    <x v="1"/>
    <x v="1"/>
    <x v="0"/>
    <x v="1"/>
    <n v="95"/>
    <n v="42"/>
    <n v="19"/>
    <s v="Hot"/>
    <s v="No"/>
    <n v="3990"/>
    <n v="1805"/>
    <n v="2185"/>
  </r>
  <r>
    <d v="2023-05-01T00:00:00"/>
    <x v="0"/>
    <x v="0"/>
    <x v="0"/>
    <x v="0"/>
    <n v="95"/>
    <n v="38"/>
    <n v="17"/>
    <s v="Hot"/>
    <s v="No"/>
    <n v="3610"/>
    <n v="1615"/>
    <n v="1995"/>
  </r>
  <r>
    <d v="2023-05-05T00:00:00"/>
    <x v="4"/>
    <x v="2"/>
    <x v="0"/>
    <x v="1"/>
    <n v="60"/>
    <n v="62"/>
    <n v="23"/>
    <s v="Hot"/>
    <s v="No"/>
    <n v="3720"/>
    <n v="1380"/>
    <n v="2340"/>
  </r>
  <r>
    <d v="2023-05-08T00:00:00"/>
    <x v="2"/>
    <x v="1"/>
    <x v="0"/>
    <x v="0"/>
    <n v="62"/>
    <n v="30"/>
    <n v="14"/>
    <s v="Very Hot"/>
    <s v="No"/>
    <n v="1860"/>
    <n v="868"/>
    <n v="992"/>
  </r>
  <r>
    <d v="2023-05-12T00:00:00"/>
    <x v="0"/>
    <x v="0"/>
    <x v="0"/>
    <x v="1"/>
    <n v="148"/>
    <n v="42"/>
    <n v="17"/>
    <s v="Very Hot"/>
    <s v="No"/>
    <n v="6216"/>
    <n v="2516"/>
    <n v="3700"/>
  </r>
  <r>
    <d v="2023-05-15T00:00:00"/>
    <x v="1"/>
    <x v="2"/>
    <x v="0"/>
    <x v="0"/>
    <n v="90"/>
    <n v="44"/>
    <n v="19"/>
    <s v="Very Hot"/>
    <s v="No"/>
    <n v="3960"/>
    <n v="1710"/>
    <n v="2250"/>
  </r>
  <r>
    <d v="2023-05-18T00:00:00"/>
    <x v="3"/>
    <x v="1"/>
    <x v="0"/>
    <x v="1"/>
    <n v="108"/>
    <n v="40"/>
    <n v="16"/>
    <s v="Very Hot"/>
    <s v="No"/>
    <n v="4320"/>
    <n v="1728"/>
    <n v="2592"/>
  </r>
  <r>
    <d v="2023-05-22T00:00:00"/>
    <x v="0"/>
    <x v="0"/>
    <x v="0"/>
    <x v="0"/>
    <n v="112"/>
    <n v="42"/>
    <n v="17"/>
    <s v="Very Hot"/>
    <s v="No"/>
    <n v="4704"/>
    <n v="1904"/>
    <n v="2800"/>
  </r>
  <r>
    <d v="2023-05-25T00:00:00"/>
    <x v="4"/>
    <x v="0"/>
    <x v="0"/>
    <x v="1"/>
    <n v="68"/>
    <n v="64"/>
    <n v="23"/>
    <s v="Very Hot"/>
    <s v="No"/>
    <n v="4352"/>
    <n v="1564"/>
    <n v="2788"/>
  </r>
  <r>
    <d v="2023-05-28T00:00:00"/>
    <x v="2"/>
    <x v="2"/>
    <x v="0"/>
    <x v="0"/>
    <n v="68"/>
    <n v="32"/>
    <n v="14"/>
    <s v="Very Hot"/>
    <s v="No"/>
    <n v="2176"/>
    <n v="952"/>
    <n v="1224"/>
  </r>
  <r>
    <d v="2023-06-01T00:00:00"/>
    <x v="0"/>
    <x v="0"/>
    <x v="0"/>
    <x v="0"/>
    <n v="125"/>
    <n v="44"/>
    <n v="17"/>
    <s v="Very Hot"/>
    <s v="No"/>
    <n v="5500"/>
    <n v="2125"/>
    <n v="3375"/>
  </r>
  <r>
    <d v="2023-06-05T00:00:00"/>
    <x v="1"/>
    <x v="1"/>
    <x v="0"/>
    <x v="1"/>
    <n v="115"/>
    <n v="46"/>
    <n v="19"/>
    <s v="Very Hot"/>
    <s v="No"/>
    <n v="5290"/>
    <n v="2185"/>
    <n v="3105"/>
  </r>
  <r>
    <d v="2023-06-08T00:00:00"/>
    <x v="3"/>
    <x v="2"/>
    <x v="0"/>
    <x v="0"/>
    <n v="100"/>
    <n v="40"/>
    <n v="16"/>
    <s v="Very Hot"/>
    <s v="No"/>
    <n v="4000"/>
    <n v="1600"/>
    <n v="2400"/>
  </r>
  <r>
    <d v="2023-06-12T00:00:00"/>
    <x v="0"/>
    <x v="0"/>
    <x v="0"/>
    <x v="1"/>
    <n v="158"/>
    <n v="46"/>
    <n v="17"/>
    <s v="Very Hot"/>
    <s v="No"/>
    <n v="7268"/>
    <n v="2686"/>
    <n v="4582"/>
  </r>
  <r>
    <d v="2023-06-15T00:00:00"/>
    <x v="4"/>
    <x v="2"/>
    <x v="0"/>
    <x v="0"/>
    <n v="72"/>
    <n v="65"/>
    <n v="23"/>
    <s v="Hot"/>
    <s v="No"/>
    <n v="4680"/>
    <n v="1656"/>
    <n v="3024"/>
  </r>
  <r>
    <d v="2023-06-18T00:00:00"/>
    <x v="2"/>
    <x v="1"/>
    <x v="0"/>
    <x v="0"/>
    <n v="78"/>
    <n v="32"/>
    <n v="14"/>
    <s v="Hot"/>
    <s v="No"/>
    <n v="2496"/>
    <n v="1092"/>
    <n v="1404"/>
  </r>
  <r>
    <d v="2023-06-22T00:00:00"/>
    <x v="1"/>
    <x v="0"/>
    <x v="0"/>
    <x v="1"/>
    <n v="120"/>
    <n v="46"/>
    <n v="19"/>
    <s v="Hot"/>
    <s v="No"/>
    <n v="5520"/>
    <n v="2280"/>
    <n v="3240"/>
  </r>
  <r>
    <d v="2023-06-25T00:00:00"/>
    <x v="0"/>
    <x v="2"/>
    <x v="0"/>
    <x v="0"/>
    <n v="130"/>
    <n v="44"/>
    <n v="17"/>
    <s v="Hot"/>
    <s v="No"/>
    <n v="5720"/>
    <n v="2210"/>
    <n v="3510"/>
  </r>
  <r>
    <d v="2023-07-01T00:00:00"/>
    <x v="0"/>
    <x v="0"/>
    <x v="1"/>
    <x v="0"/>
    <n v="52"/>
    <n v="38"/>
    <n v="17"/>
    <s v="Rainy"/>
    <s v="No"/>
    <n v="1976"/>
    <n v="884"/>
    <n v="1092"/>
  </r>
  <r>
    <d v="2023-07-05T00:00:00"/>
    <x v="1"/>
    <x v="1"/>
    <x v="1"/>
    <x v="1"/>
    <n v="68"/>
    <n v="42"/>
    <n v="19"/>
    <s v="Rainy"/>
    <s v="No"/>
    <n v="2856"/>
    <n v="1292"/>
    <n v="1564"/>
  </r>
  <r>
    <d v="2023-07-08T00:00:00"/>
    <x v="2"/>
    <x v="2"/>
    <x v="1"/>
    <x v="0"/>
    <n v="40"/>
    <n v="28"/>
    <n v="14"/>
    <s v="Rainy"/>
    <s v="No"/>
    <n v="1120"/>
    <n v="560"/>
    <n v="560"/>
  </r>
  <r>
    <d v="2023-07-12T00:00:00"/>
    <x v="3"/>
    <x v="0"/>
    <x v="1"/>
    <x v="1"/>
    <n v="58"/>
    <n v="35"/>
    <n v="16"/>
    <s v="Cloudy"/>
    <s v="No"/>
    <n v="2030"/>
    <n v="928"/>
    <n v="1102"/>
  </r>
  <r>
    <d v="2023-07-15T00:00:00"/>
    <x v="0"/>
    <x v="1"/>
    <x v="1"/>
    <x v="0"/>
    <n v="48"/>
    <n v="36"/>
    <n v="17"/>
    <s v="Rainy"/>
    <s v="No"/>
    <n v="1728"/>
    <n v="816"/>
    <n v="912"/>
  </r>
  <r>
    <d v="2023-07-18T00:00:00"/>
    <x v="1"/>
    <x v="2"/>
    <x v="1"/>
    <x v="0"/>
    <n v="62"/>
    <n v="40"/>
    <n v="19"/>
    <s v="Cloudy"/>
    <s v="No"/>
    <n v="2480"/>
    <n v="1178"/>
    <n v="1302"/>
  </r>
  <r>
    <d v="2023-07-22T00:00:00"/>
    <x v="4"/>
    <x v="0"/>
    <x v="1"/>
    <x v="1"/>
    <n v="38"/>
    <n v="56"/>
    <n v="23"/>
    <s v="Cloudy"/>
    <s v="No"/>
    <n v="2128"/>
    <n v="874"/>
    <n v="1254"/>
  </r>
  <r>
    <d v="2023-07-25T00:00:00"/>
    <x v="2"/>
    <x v="1"/>
    <x v="1"/>
    <x v="0"/>
    <n v="38"/>
    <n v="28"/>
    <n v="14"/>
    <s v="Rainy"/>
    <s v="No"/>
    <n v="1064"/>
    <n v="532"/>
    <n v="532"/>
  </r>
  <r>
    <d v="2023-08-01T00:00:00"/>
    <x v="0"/>
    <x v="0"/>
    <x v="1"/>
    <x v="0"/>
    <n v="50"/>
    <n v="36"/>
    <n v="17"/>
    <s v="Rainy"/>
    <s v="No"/>
    <n v="1800"/>
    <n v="850"/>
    <n v="950"/>
  </r>
  <r>
    <d v="2023-08-05T00:00:00"/>
    <x v="1"/>
    <x v="2"/>
    <x v="1"/>
    <x v="1"/>
    <n v="72"/>
    <n v="42"/>
    <n v="19"/>
    <s v="Cloudy"/>
    <s v="No"/>
    <n v="3024"/>
    <n v="1368"/>
    <n v="1656"/>
  </r>
  <r>
    <d v="2023-08-08T00:00:00"/>
    <x v="3"/>
    <x v="1"/>
    <x v="1"/>
    <x v="0"/>
    <n v="52"/>
    <n v="33"/>
    <n v="16"/>
    <s v="Rainy"/>
    <s v="No"/>
    <n v="1716"/>
    <n v="832"/>
    <n v="884"/>
  </r>
  <r>
    <d v="2023-08-15T00:00:00"/>
    <x v="0"/>
    <x v="0"/>
    <x v="1"/>
    <x v="1"/>
    <n v="95"/>
    <n v="42"/>
    <n v="17"/>
    <s v="Cloudy"/>
    <s v="Yes"/>
    <n v="3990"/>
    <n v="1615"/>
    <n v="2375"/>
  </r>
  <r>
    <d v="2023-08-15T00:00:00"/>
    <x v="1"/>
    <x v="1"/>
    <x v="1"/>
    <x v="1"/>
    <n v="85"/>
    <n v="46"/>
    <n v="19"/>
    <s v="Cloudy"/>
    <s v="Yes"/>
    <n v="3910"/>
    <n v="1615"/>
    <n v="2295"/>
  </r>
  <r>
    <d v="2023-08-15T00:00:00"/>
    <x v="4"/>
    <x v="2"/>
    <x v="1"/>
    <x v="1"/>
    <n v="58"/>
    <n v="62"/>
    <n v="23"/>
    <s v="Cloudy"/>
    <s v="Yes"/>
    <n v="3596"/>
    <n v="1334"/>
    <n v="2262"/>
  </r>
  <r>
    <d v="2023-08-20T00:00:00"/>
    <x v="2"/>
    <x v="0"/>
    <x v="1"/>
    <x v="0"/>
    <n v="42"/>
    <n v="28"/>
    <n v="14"/>
    <s v="Rainy"/>
    <s v="No"/>
    <n v="1176"/>
    <n v="588"/>
    <n v="588"/>
  </r>
  <r>
    <d v="2023-08-25T00:00:00"/>
    <x v="0"/>
    <x v="1"/>
    <x v="1"/>
    <x v="0"/>
    <n v="55"/>
    <n v="36"/>
    <n v="17"/>
    <s v="Cloudy"/>
    <s v="No"/>
    <n v="1980"/>
    <n v="935"/>
    <n v="1045"/>
  </r>
  <r>
    <d v="2023-09-01T00:00:00"/>
    <x v="1"/>
    <x v="2"/>
    <x v="1"/>
    <x v="1"/>
    <n v="70"/>
    <n v="42"/>
    <n v="19"/>
    <s v="Cloudy"/>
    <s v="No"/>
    <n v="2940"/>
    <n v="1330"/>
    <n v="1610"/>
  </r>
  <r>
    <d v="2023-09-08T00:00:00"/>
    <x v="3"/>
    <x v="0"/>
    <x v="1"/>
    <x v="0"/>
    <n v="50"/>
    <n v="33"/>
    <n v="16"/>
    <s v="Cloudy"/>
    <s v="No"/>
    <n v="1650"/>
    <n v="800"/>
    <n v="850"/>
  </r>
  <r>
    <d v="2023-09-15T00:00:00"/>
    <x v="0"/>
    <x v="1"/>
    <x v="1"/>
    <x v="1"/>
    <n v="62"/>
    <n v="36"/>
    <n v="17"/>
    <s v="Cloudy"/>
    <s v="No"/>
    <n v="2232"/>
    <n v="1054"/>
    <n v="1178"/>
  </r>
  <r>
    <d v="2023-09-22T00:00:00"/>
    <x v="2"/>
    <x v="2"/>
    <x v="1"/>
    <x v="0"/>
    <n v="40"/>
    <n v="28"/>
    <n v="14"/>
    <s v="Cloudy"/>
    <s v="No"/>
    <n v="1120"/>
    <n v="560"/>
    <n v="560"/>
  </r>
  <r>
    <d v="2023-10-01T00:00:00"/>
    <x v="0"/>
    <x v="0"/>
    <x v="2"/>
    <x v="0"/>
    <n v="40"/>
    <n v="33"/>
    <n v="17"/>
    <s v="Cool"/>
    <s v="No"/>
    <n v="1320"/>
    <n v="680"/>
    <n v="640"/>
  </r>
  <r>
    <d v="2023-10-05T00:00:00"/>
    <x v="1"/>
    <x v="1"/>
    <x v="2"/>
    <x v="1"/>
    <n v="58"/>
    <n v="40"/>
    <n v="19"/>
    <s v="Cool"/>
    <s v="No"/>
    <n v="2320"/>
    <n v="1102"/>
    <n v="1218"/>
  </r>
  <r>
    <d v="2023-10-08T00:00:00"/>
    <x v="4"/>
    <x v="2"/>
    <x v="2"/>
    <x v="0"/>
    <n v="32"/>
    <n v="54"/>
    <n v="23"/>
    <s v="Cool"/>
    <s v="No"/>
    <n v="1728"/>
    <n v="736"/>
    <n v="992"/>
  </r>
  <r>
    <d v="2023-10-12T00:00:00"/>
    <x v="2"/>
    <x v="0"/>
    <x v="2"/>
    <x v="0"/>
    <n v="30"/>
    <n v="26"/>
    <n v="14"/>
    <s v="Cool"/>
    <s v="No"/>
    <n v="780"/>
    <n v="420"/>
    <n v="360"/>
  </r>
  <r>
    <d v="2023-10-15T00:00:00"/>
    <x v="3"/>
    <x v="1"/>
    <x v="2"/>
    <x v="1"/>
    <n v="44"/>
    <n v="32"/>
    <n v="16"/>
    <s v="Cool"/>
    <s v="No"/>
    <n v="1408"/>
    <n v="704"/>
    <n v="704"/>
  </r>
  <r>
    <d v="2023-10-20T00:00:00"/>
    <x v="0"/>
    <x v="0"/>
    <x v="2"/>
    <x v="1"/>
    <n v="68"/>
    <n v="36"/>
    <n v="17"/>
    <s v="Cool"/>
    <s v="Yes"/>
    <n v="2448"/>
    <n v="1156"/>
    <n v="1292"/>
  </r>
  <r>
    <d v="2023-10-20T00:00:00"/>
    <x v="1"/>
    <x v="2"/>
    <x v="2"/>
    <x v="1"/>
    <n v="80"/>
    <n v="44"/>
    <n v="19"/>
    <s v="Cool"/>
    <s v="Yes"/>
    <n v="3520"/>
    <n v="1520"/>
    <n v="2000"/>
  </r>
  <r>
    <d v="2023-10-25T00:00:00"/>
    <x v="0"/>
    <x v="1"/>
    <x v="2"/>
    <x v="0"/>
    <n v="38"/>
    <n v="33"/>
    <n v="17"/>
    <s v="Cool"/>
    <s v="No"/>
    <n v="1254"/>
    <n v="646"/>
    <n v="608"/>
  </r>
  <r>
    <d v="2023-11-01T00:00:00"/>
    <x v="1"/>
    <x v="0"/>
    <x v="2"/>
    <x v="0"/>
    <n v="45"/>
    <n v="40"/>
    <n v="19"/>
    <s v="Cold"/>
    <s v="No"/>
    <n v="1800"/>
    <n v="855"/>
    <n v="945"/>
  </r>
  <r>
    <d v="2023-11-05T00:00:00"/>
    <x v="2"/>
    <x v="2"/>
    <x v="2"/>
    <x v="0"/>
    <n v="28"/>
    <n v="26"/>
    <n v="14"/>
    <s v="Cold"/>
    <s v="No"/>
    <n v="728"/>
    <n v="392"/>
    <n v="336"/>
  </r>
  <r>
    <d v="2023-11-08T00:00:00"/>
    <x v="3"/>
    <x v="1"/>
    <x v="2"/>
    <x v="1"/>
    <n v="40"/>
    <n v="30"/>
    <n v="16"/>
    <s v="Cold"/>
    <s v="No"/>
    <n v="1200"/>
    <n v="640"/>
    <n v="560"/>
  </r>
  <r>
    <d v="2023-11-12T00:00:00"/>
    <x v="4"/>
    <x v="0"/>
    <x v="2"/>
    <x v="0"/>
    <n v="30"/>
    <n v="52"/>
    <n v="23"/>
    <s v="Cold"/>
    <s v="No"/>
    <n v="1560"/>
    <n v="690"/>
    <n v="870"/>
  </r>
  <r>
    <d v="2023-12-01T00:00:00"/>
    <x v="1"/>
    <x v="1"/>
    <x v="2"/>
    <x v="0"/>
    <n v="42"/>
    <n v="40"/>
    <n v="19"/>
    <s v="Cold"/>
    <s v="No"/>
    <n v="1680"/>
    <n v="798"/>
    <n v="882"/>
  </r>
  <r>
    <d v="2023-12-10T00:00:00"/>
    <x v="2"/>
    <x v="2"/>
    <x v="2"/>
    <x v="0"/>
    <n v="24"/>
    <n v="26"/>
    <n v="14"/>
    <s v="Cold"/>
    <s v="No"/>
    <n v="624"/>
    <n v="336"/>
    <n v="288"/>
  </r>
  <r>
    <d v="2023-12-15T00:00:00"/>
    <x v="0"/>
    <x v="0"/>
    <x v="2"/>
    <x v="1"/>
    <n v="35"/>
    <n v="33"/>
    <n v="17"/>
    <s v="Cold"/>
    <s v="No"/>
    <n v="1155"/>
    <n v="595"/>
    <n v="560"/>
  </r>
  <r>
    <d v="2023-12-25T00:00:00"/>
    <x v="1"/>
    <x v="0"/>
    <x v="2"/>
    <x v="1"/>
    <n v="92"/>
    <n v="46"/>
    <n v="19"/>
    <s v="Cold"/>
    <s v="Yes"/>
    <n v="4232"/>
    <n v="1748"/>
    <n v="2484"/>
  </r>
  <r>
    <d v="2023-12-25T00:00:00"/>
    <x v="3"/>
    <x v="1"/>
    <x v="2"/>
    <x v="1"/>
    <n v="68"/>
    <n v="40"/>
    <n v="16"/>
    <s v="Cold"/>
    <s v="Yes"/>
    <n v="2720"/>
    <n v="1088"/>
    <n v="1632"/>
  </r>
  <r>
    <d v="2023-12-25T00:00:00"/>
    <x v="4"/>
    <x v="2"/>
    <x v="2"/>
    <x v="1"/>
    <n v="52"/>
    <n v="60"/>
    <n v="23"/>
    <s v="Cold"/>
    <s v="Yes"/>
    <n v="3120"/>
    <n v="1196"/>
    <n v="192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d v="2022-04-01T00:00:00"/>
    <x v="0"/>
    <x v="0"/>
    <x v="0"/>
    <s v="Weekday"/>
    <n v="75"/>
    <n v="35"/>
    <n v="16"/>
    <x v="0"/>
    <x v="0"/>
    <n v="2625"/>
    <n v="1200"/>
    <n v="1425"/>
    <x v="0"/>
  </r>
  <r>
    <d v="2022-04-02T00:00:00"/>
    <x v="1"/>
    <x v="1"/>
    <x v="0"/>
    <s v="Weekend"/>
    <n v="65"/>
    <n v="40"/>
    <n v="18"/>
    <x v="0"/>
    <x v="0"/>
    <n v="2600"/>
    <n v="1170"/>
    <n v="1430"/>
    <x v="0"/>
  </r>
  <r>
    <d v="2022-04-05T00:00:00"/>
    <x v="2"/>
    <x v="2"/>
    <x v="0"/>
    <s v="Weekday"/>
    <n v="50"/>
    <n v="30"/>
    <n v="13"/>
    <x v="0"/>
    <x v="0"/>
    <n v="1500"/>
    <n v="650"/>
    <n v="850"/>
    <x v="0"/>
  </r>
  <r>
    <d v="2022-04-08T00:00:00"/>
    <x v="3"/>
    <x v="0"/>
    <x v="0"/>
    <s v="Weekend"/>
    <n v="55"/>
    <n v="35"/>
    <n v="15"/>
    <x v="0"/>
    <x v="0"/>
    <n v="1925"/>
    <n v="825"/>
    <n v="1100"/>
    <x v="0"/>
  </r>
  <r>
    <d v="2022-04-10T00:00:00"/>
    <x v="4"/>
    <x v="1"/>
    <x v="0"/>
    <s v="Weekday"/>
    <n v="40"/>
    <n v="55"/>
    <n v="22"/>
    <x v="0"/>
    <x v="0"/>
    <n v="2200"/>
    <n v="880"/>
    <n v="1320"/>
    <x v="0"/>
  </r>
  <r>
    <d v="2022-04-14T00:00:00"/>
    <x v="0"/>
    <x v="0"/>
    <x v="0"/>
    <s v="Weekend"/>
    <n v="130"/>
    <n v="38"/>
    <n v="16"/>
    <x v="0"/>
    <x v="1"/>
    <n v="4940"/>
    <n v="2080"/>
    <n v="2860"/>
    <x v="0"/>
  </r>
  <r>
    <d v="2022-04-14T00:00:00"/>
    <x v="1"/>
    <x v="2"/>
    <x v="0"/>
    <s v="Weekend"/>
    <n v="95"/>
    <n v="42"/>
    <n v="18"/>
    <x v="0"/>
    <x v="1"/>
    <n v="3990"/>
    <n v="1710"/>
    <n v="2280"/>
    <x v="0"/>
  </r>
  <r>
    <d v="2022-04-14T00:00:00"/>
    <x v="3"/>
    <x v="1"/>
    <x v="0"/>
    <s v="Weekend"/>
    <n v="85"/>
    <n v="38"/>
    <n v="15"/>
    <x v="0"/>
    <x v="1"/>
    <n v="3230"/>
    <n v="1275"/>
    <n v="1955"/>
    <x v="0"/>
  </r>
  <r>
    <d v="2022-04-18T00:00:00"/>
    <x v="2"/>
    <x v="0"/>
    <x v="0"/>
    <s v="Weekday"/>
    <n v="55"/>
    <n v="30"/>
    <n v="13"/>
    <x v="0"/>
    <x v="0"/>
    <n v="1650"/>
    <n v="715"/>
    <n v="935"/>
    <x v="0"/>
  </r>
  <r>
    <d v="2022-04-22T00:00:00"/>
    <x v="0"/>
    <x v="2"/>
    <x v="0"/>
    <s v="Weekday"/>
    <n v="80"/>
    <n v="35"/>
    <n v="16"/>
    <x v="0"/>
    <x v="0"/>
    <n v="2800"/>
    <n v="1280"/>
    <n v="1520"/>
    <x v="0"/>
  </r>
  <r>
    <d v="2022-04-25T00:00:00"/>
    <x v="1"/>
    <x v="0"/>
    <x v="0"/>
    <s v="Weekend"/>
    <n v="90"/>
    <n v="40"/>
    <n v="18"/>
    <x v="0"/>
    <x v="0"/>
    <n v="3600"/>
    <n v="1620"/>
    <n v="1980"/>
    <x v="0"/>
  </r>
  <r>
    <d v="2022-05-01T00:00:00"/>
    <x v="0"/>
    <x v="0"/>
    <x v="0"/>
    <s v="Weekday"/>
    <n v="90"/>
    <n v="38"/>
    <n v="16"/>
    <x v="0"/>
    <x v="0"/>
    <n v="3420"/>
    <n v="1440"/>
    <n v="1980"/>
    <x v="0"/>
  </r>
  <r>
    <d v="2022-05-05T00:00:00"/>
    <x v="4"/>
    <x v="1"/>
    <x v="0"/>
    <s v="Weekend"/>
    <n v="55"/>
    <n v="58"/>
    <n v="22"/>
    <x v="0"/>
    <x v="0"/>
    <n v="3190"/>
    <n v="1210"/>
    <n v="1980"/>
    <x v="0"/>
  </r>
  <r>
    <d v="2022-05-08T00:00:00"/>
    <x v="2"/>
    <x v="2"/>
    <x v="0"/>
    <s v="Weekday"/>
    <n v="60"/>
    <n v="30"/>
    <n v="13"/>
    <x v="1"/>
    <x v="0"/>
    <n v="1800"/>
    <n v="780"/>
    <n v="1020"/>
    <x v="0"/>
  </r>
  <r>
    <d v="2022-05-12T00:00:00"/>
    <x v="0"/>
    <x v="0"/>
    <x v="0"/>
    <s v="Weekend"/>
    <n v="140"/>
    <n v="40"/>
    <n v="16"/>
    <x v="1"/>
    <x v="0"/>
    <n v="5600"/>
    <n v="2240"/>
    <n v="3360"/>
    <x v="0"/>
  </r>
  <r>
    <d v="2022-05-15T00:00:00"/>
    <x v="1"/>
    <x v="1"/>
    <x v="0"/>
    <s v="Weekday"/>
    <n v="85"/>
    <n v="42"/>
    <n v="18"/>
    <x v="1"/>
    <x v="0"/>
    <n v="3570"/>
    <n v="1530"/>
    <n v="2040"/>
    <x v="0"/>
  </r>
  <r>
    <d v="2022-05-18T00:00:00"/>
    <x v="3"/>
    <x v="2"/>
    <x v="0"/>
    <s v="Weekend"/>
    <n v="100"/>
    <n v="38"/>
    <n v="15"/>
    <x v="1"/>
    <x v="0"/>
    <n v="3800"/>
    <n v="1500"/>
    <n v="2300"/>
    <x v="0"/>
  </r>
  <r>
    <d v="2022-05-22T00:00:00"/>
    <x v="0"/>
    <x v="0"/>
    <x v="0"/>
    <s v="Weekday"/>
    <n v="105"/>
    <n v="40"/>
    <n v="16"/>
    <x v="1"/>
    <x v="0"/>
    <n v="4200"/>
    <n v="1680"/>
    <n v="2520"/>
    <x v="0"/>
  </r>
  <r>
    <d v="2022-05-25T00:00:00"/>
    <x v="4"/>
    <x v="0"/>
    <x v="0"/>
    <s v="Weekend"/>
    <n v="65"/>
    <n v="60"/>
    <n v="22"/>
    <x v="1"/>
    <x v="0"/>
    <n v="3900"/>
    <n v="1430"/>
    <n v="2470"/>
    <x v="0"/>
  </r>
  <r>
    <d v="2022-05-28T00:00:00"/>
    <x v="2"/>
    <x v="1"/>
    <x v="0"/>
    <s v="Weekday"/>
    <n v="65"/>
    <n v="32"/>
    <n v="13"/>
    <x v="1"/>
    <x v="0"/>
    <n v="2080"/>
    <n v="845"/>
    <n v="1235"/>
    <x v="0"/>
  </r>
  <r>
    <d v="2022-06-01T00:00:00"/>
    <x v="0"/>
    <x v="0"/>
    <x v="0"/>
    <s v="Weekday"/>
    <n v="120"/>
    <n v="42"/>
    <n v="16"/>
    <x v="1"/>
    <x v="0"/>
    <n v="5040"/>
    <n v="1920"/>
    <n v="3120"/>
    <x v="0"/>
  </r>
  <r>
    <d v="2022-06-05T00:00:00"/>
    <x v="1"/>
    <x v="2"/>
    <x v="0"/>
    <s v="Weekend"/>
    <n v="110"/>
    <n v="44"/>
    <n v="18"/>
    <x v="1"/>
    <x v="0"/>
    <n v="4840"/>
    <n v="1980"/>
    <n v="2860"/>
    <x v="0"/>
  </r>
  <r>
    <d v="2022-06-08T00:00:00"/>
    <x v="3"/>
    <x v="1"/>
    <x v="0"/>
    <s v="Weekday"/>
    <n v="95"/>
    <n v="40"/>
    <n v="15"/>
    <x v="1"/>
    <x v="0"/>
    <n v="3800"/>
    <n v="1425"/>
    <n v="2375"/>
    <x v="0"/>
  </r>
  <r>
    <d v="2022-06-12T00:00:00"/>
    <x v="0"/>
    <x v="0"/>
    <x v="0"/>
    <s v="Weekend"/>
    <n v="150"/>
    <n v="44"/>
    <n v="16"/>
    <x v="1"/>
    <x v="0"/>
    <n v="6600"/>
    <n v="2400"/>
    <n v="4200"/>
    <x v="0"/>
  </r>
  <r>
    <d v="2022-06-15T00:00:00"/>
    <x v="4"/>
    <x v="2"/>
    <x v="0"/>
    <s v="Weekday"/>
    <n v="70"/>
    <n v="62"/>
    <n v="22"/>
    <x v="0"/>
    <x v="0"/>
    <n v="4340"/>
    <n v="1540"/>
    <n v="2800"/>
    <x v="0"/>
  </r>
  <r>
    <d v="2022-06-18T00:00:00"/>
    <x v="2"/>
    <x v="0"/>
    <x v="0"/>
    <s v="Weekday"/>
    <n v="75"/>
    <n v="32"/>
    <n v="13"/>
    <x v="0"/>
    <x v="0"/>
    <n v="2400"/>
    <n v="975"/>
    <n v="1425"/>
    <x v="0"/>
  </r>
  <r>
    <d v="2022-06-22T00:00:00"/>
    <x v="1"/>
    <x v="1"/>
    <x v="0"/>
    <s v="Weekend"/>
    <n v="115"/>
    <n v="44"/>
    <n v="18"/>
    <x v="0"/>
    <x v="0"/>
    <n v="5060"/>
    <n v="2070"/>
    <n v="2990"/>
    <x v="0"/>
  </r>
  <r>
    <d v="2022-06-25T00:00:00"/>
    <x v="0"/>
    <x v="2"/>
    <x v="0"/>
    <s v="Weekday"/>
    <n v="125"/>
    <n v="42"/>
    <n v="16"/>
    <x v="0"/>
    <x v="0"/>
    <n v="5250"/>
    <n v="2000"/>
    <n v="3250"/>
    <x v="0"/>
  </r>
  <r>
    <d v="2022-07-01T00:00:00"/>
    <x v="0"/>
    <x v="0"/>
    <x v="1"/>
    <s v="Weekday"/>
    <n v="50"/>
    <n v="38"/>
    <n v="16"/>
    <x v="2"/>
    <x v="0"/>
    <n v="1900"/>
    <n v="800"/>
    <n v="1100"/>
    <x v="0"/>
  </r>
  <r>
    <d v="2022-07-05T00:00:00"/>
    <x v="1"/>
    <x v="1"/>
    <x v="1"/>
    <s v="Weekend"/>
    <n v="65"/>
    <n v="40"/>
    <n v="18"/>
    <x v="2"/>
    <x v="0"/>
    <n v="2600"/>
    <n v="1170"/>
    <n v="1430"/>
    <x v="0"/>
  </r>
  <r>
    <d v="2022-07-08T00:00:00"/>
    <x v="2"/>
    <x v="2"/>
    <x v="1"/>
    <s v="Weekday"/>
    <n v="38"/>
    <n v="28"/>
    <n v="13"/>
    <x v="2"/>
    <x v="0"/>
    <n v="1064"/>
    <n v="494"/>
    <n v="570"/>
    <x v="0"/>
  </r>
  <r>
    <d v="2022-07-12T00:00:00"/>
    <x v="3"/>
    <x v="0"/>
    <x v="1"/>
    <s v="Weekend"/>
    <n v="55"/>
    <n v="35"/>
    <n v="15"/>
    <x v="3"/>
    <x v="0"/>
    <n v="1925"/>
    <n v="825"/>
    <n v="1100"/>
    <x v="0"/>
  </r>
  <r>
    <d v="2022-07-15T00:00:00"/>
    <x v="0"/>
    <x v="1"/>
    <x v="1"/>
    <s v="Weekday"/>
    <n v="45"/>
    <n v="36"/>
    <n v="16"/>
    <x v="2"/>
    <x v="0"/>
    <n v="1620"/>
    <n v="720"/>
    <n v="900"/>
    <x v="0"/>
  </r>
  <r>
    <d v="2022-07-18T00:00:00"/>
    <x v="1"/>
    <x v="2"/>
    <x v="1"/>
    <s v="Weekday"/>
    <n v="60"/>
    <n v="40"/>
    <n v="18"/>
    <x v="3"/>
    <x v="0"/>
    <n v="2400"/>
    <n v="1080"/>
    <n v="1320"/>
    <x v="0"/>
  </r>
  <r>
    <d v="2022-07-22T00:00:00"/>
    <x v="4"/>
    <x v="0"/>
    <x v="1"/>
    <s v="Weekend"/>
    <n v="35"/>
    <n v="55"/>
    <n v="22"/>
    <x v="3"/>
    <x v="0"/>
    <n v="1925"/>
    <n v="770"/>
    <n v="1155"/>
    <x v="0"/>
  </r>
  <r>
    <d v="2022-07-25T00:00:00"/>
    <x v="2"/>
    <x v="1"/>
    <x v="1"/>
    <s v="Weekday"/>
    <n v="35"/>
    <n v="28"/>
    <n v="13"/>
    <x v="2"/>
    <x v="0"/>
    <n v="980"/>
    <n v="455"/>
    <n v="525"/>
    <x v="0"/>
  </r>
  <r>
    <d v="2022-08-01T00:00:00"/>
    <x v="0"/>
    <x v="0"/>
    <x v="1"/>
    <s v="Weekday"/>
    <n v="48"/>
    <n v="36"/>
    <n v="16"/>
    <x v="2"/>
    <x v="0"/>
    <n v="1728"/>
    <n v="768"/>
    <n v="960"/>
    <x v="0"/>
  </r>
  <r>
    <d v="2022-08-05T00:00:00"/>
    <x v="1"/>
    <x v="2"/>
    <x v="1"/>
    <s v="Weekend"/>
    <n v="70"/>
    <n v="40"/>
    <n v="18"/>
    <x v="3"/>
    <x v="0"/>
    <n v="2800"/>
    <n v="1260"/>
    <n v="1540"/>
    <x v="0"/>
  </r>
  <r>
    <d v="2022-08-08T00:00:00"/>
    <x v="3"/>
    <x v="1"/>
    <x v="1"/>
    <s v="Weekday"/>
    <n v="50"/>
    <n v="33"/>
    <n v="15"/>
    <x v="2"/>
    <x v="0"/>
    <n v="1650"/>
    <n v="750"/>
    <n v="900"/>
    <x v="0"/>
  </r>
  <r>
    <d v="2022-08-15T00:00:00"/>
    <x v="0"/>
    <x v="0"/>
    <x v="1"/>
    <s v="Weekend"/>
    <n v="90"/>
    <n v="40"/>
    <n v="16"/>
    <x v="3"/>
    <x v="1"/>
    <n v="3600"/>
    <n v="1440"/>
    <n v="2160"/>
    <x v="0"/>
  </r>
  <r>
    <d v="2022-08-15T00:00:00"/>
    <x v="1"/>
    <x v="1"/>
    <x v="1"/>
    <s v="Weekend"/>
    <n v="80"/>
    <n v="44"/>
    <n v="18"/>
    <x v="3"/>
    <x v="1"/>
    <n v="3520"/>
    <n v="1440"/>
    <n v="2080"/>
    <x v="0"/>
  </r>
  <r>
    <d v="2022-08-15T00:00:00"/>
    <x v="4"/>
    <x v="2"/>
    <x v="1"/>
    <s v="Weekend"/>
    <n v="55"/>
    <n v="60"/>
    <n v="22"/>
    <x v="3"/>
    <x v="1"/>
    <n v="3300"/>
    <n v="1210"/>
    <n v="2090"/>
    <x v="0"/>
  </r>
  <r>
    <d v="2022-08-20T00:00:00"/>
    <x v="2"/>
    <x v="0"/>
    <x v="1"/>
    <s v="Weekday"/>
    <n v="40"/>
    <n v="28"/>
    <n v="13"/>
    <x v="2"/>
    <x v="0"/>
    <n v="1120"/>
    <n v="520"/>
    <n v="600"/>
    <x v="0"/>
  </r>
  <r>
    <d v="2022-08-25T00:00:00"/>
    <x v="0"/>
    <x v="1"/>
    <x v="1"/>
    <s v="Weekday"/>
    <n v="52"/>
    <n v="36"/>
    <n v="16"/>
    <x v="3"/>
    <x v="0"/>
    <n v="1872"/>
    <n v="832"/>
    <n v="1040"/>
    <x v="0"/>
  </r>
  <r>
    <d v="2022-09-01T00:00:00"/>
    <x v="1"/>
    <x v="2"/>
    <x v="1"/>
    <s v="Weekend"/>
    <n v="68"/>
    <n v="40"/>
    <n v="18"/>
    <x v="3"/>
    <x v="0"/>
    <n v="2720"/>
    <n v="1224"/>
    <n v="1496"/>
    <x v="0"/>
  </r>
  <r>
    <d v="2022-09-08T00:00:00"/>
    <x v="3"/>
    <x v="0"/>
    <x v="1"/>
    <s v="Weekday"/>
    <n v="48"/>
    <n v="33"/>
    <n v="15"/>
    <x v="3"/>
    <x v="0"/>
    <n v="1584"/>
    <n v="720"/>
    <n v="864"/>
    <x v="0"/>
  </r>
  <r>
    <d v="2022-09-15T00:00:00"/>
    <x v="0"/>
    <x v="1"/>
    <x v="1"/>
    <s v="Weekend"/>
    <n v="60"/>
    <n v="36"/>
    <n v="16"/>
    <x v="3"/>
    <x v="0"/>
    <n v="2160"/>
    <n v="960"/>
    <n v="1200"/>
    <x v="0"/>
  </r>
  <r>
    <d v="2022-09-22T00:00:00"/>
    <x v="2"/>
    <x v="2"/>
    <x v="1"/>
    <s v="Weekday"/>
    <n v="38"/>
    <n v="28"/>
    <n v="13"/>
    <x v="3"/>
    <x v="0"/>
    <n v="1064"/>
    <n v="494"/>
    <n v="570"/>
    <x v="0"/>
  </r>
  <r>
    <d v="2022-10-01T00:00:00"/>
    <x v="0"/>
    <x v="0"/>
    <x v="2"/>
    <s v="Weekday"/>
    <n v="38"/>
    <n v="32"/>
    <n v="16"/>
    <x v="4"/>
    <x v="0"/>
    <n v="1216"/>
    <n v="608"/>
    <n v="608"/>
    <x v="0"/>
  </r>
  <r>
    <d v="2022-10-05T00:00:00"/>
    <x v="1"/>
    <x v="1"/>
    <x v="2"/>
    <s v="Weekend"/>
    <n v="55"/>
    <n v="38"/>
    <n v="18"/>
    <x v="4"/>
    <x v="0"/>
    <n v="2090"/>
    <n v="990"/>
    <n v="1100"/>
    <x v="0"/>
  </r>
  <r>
    <d v="2022-10-08T00:00:00"/>
    <x v="4"/>
    <x v="2"/>
    <x v="2"/>
    <s v="Weekday"/>
    <n v="30"/>
    <n v="52"/>
    <n v="22"/>
    <x v="4"/>
    <x v="0"/>
    <n v="1560"/>
    <n v="660"/>
    <n v="900"/>
    <x v="0"/>
  </r>
  <r>
    <d v="2022-10-12T00:00:00"/>
    <x v="2"/>
    <x v="0"/>
    <x v="2"/>
    <s v="Weekday"/>
    <n v="28"/>
    <n v="26"/>
    <n v="13"/>
    <x v="4"/>
    <x v="0"/>
    <n v="728"/>
    <n v="364"/>
    <n v="364"/>
    <x v="0"/>
  </r>
  <r>
    <d v="2022-10-15T00:00:00"/>
    <x v="3"/>
    <x v="1"/>
    <x v="2"/>
    <s v="Weekend"/>
    <n v="42"/>
    <n v="32"/>
    <n v="15"/>
    <x v="4"/>
    <x v="0"/>
    <n v="1344"/>
    <n v="630"/>
    <n v="714"/>
    <x v="0"/>
  </r>
  <r>
    <d v="2022-10-20T00:00:00"/>
    <x v="0"/>
    <x v="0"/>
    <x v="2"/>
    <s v="Weekend"/>
    <n v="62"/>
    <n v="35"/>
    <n v="16"/>
    <x v="4"/>
    <x v="1"/>
    <n v="2170"/>
    <n v="992"/>
    <n v="1178"/>
    <x v="0"/>
  </r>
  <r>
    <d v="2022-10-20T00:00:00"/>
    <x v="1"/>
    <x v="2"/>
    <x v="2"/>
    <s v="Weekend"/>
    <n v="75"/>
    <n v="42"/>
    <n v="18"/>
    <x v="4"/>
    <x v="1"/>
    <n v="3150"/>
    <n v="1350"/>
    <n v="1800"/>
    <x v="0"/>
  </r>
  <r>
    <d v="2022-10-25T00:00:00"/>
    <x v="0"/>
    <x v="1"/>
    <x v="2"/>
    <s v="Weekday"/>
    <n v="35"/>
    <n v="32"/>
    <n v="16"/>
    <x v="4"/>
    <x v="0"/>
    <n v="1120"/>
    <n v="560"/>
    <n v="560"/>
    <x v="0"/>
  </r>
  <r>
    <d v="2022-11-01T00:00:00"/>
    <x v="1"/>
    <x v="0"/>
    <x v="2"/>
    <s v="Weekday"/>
    <n v="42"/>
    <n v="38"/>
    <n v="18"/>
    <x v="5"/>
    <x v="0"/>
    <n v="1596"/>
    <n v="756"/>
    <n v="840"/>
    <x v="0"/>
  </r>
  <r>
    <d v="2022-11-05T00:00:00"/>
    <x v="2"/>
    <x v="2"/>
    <x v="2"/>
    <s v="Weekday"/>
    <n v="25"/>
    <n v="26"/>
    <n v="13"/>
    <x v="5"/>
    <x v="0"/>
    <n v="650"/>
    <n v="325"/>
    <n v="325"/>
    <x v="0"/>
  </r>
  <r>
    <d v="2022-11-08T00:00:00"/>
    <x v="3"/>
    <x v="1"/>
    <x v="2"/>
    <s v="Weekend"/>
    <n v="38"/>
    <n v="30"/>
    <n v="15"/>
    <x v="5"/>
    <x v="0"/>
    <n v="1140"/>
    <n v="570"/>
    <n v="570"/>
    <x v="0"/>
  </r>
  <r>
    <d v="2022-11-12T00:00:00"/>
    <x v="4"/>
    <x v="0"/>
    <x v="2"/>
    <s v="Weekday"/>
    <n v="28"/>
    <n v="50"/>
    <n v="22"/>
    <x v="5"/>
    <x v="0"/>
    <n v="1400"/>
    <n v="616"/>
    <n v="784"/>
    <x v="0"/>
  </r>
  <r>
    <d v="2022-12-01T00:00:00"/>
    <x v="1"/>
    <x v="1"/>
    <x v="2"/>
    <s v="Weekday"/>
    <n v="40"/>
    <n v="38"/>
    <n v="18"/>
    <x v="5"/>
    <x v="0"/>
    <n v="1520"/>
    <n v="720"/>
    <n v="800"/>
    <x v="0"/>
  </r>
  <r>
    <d v="2022-12-10T00:00:00"/>
    <x v="2"/>
    <x v="2"/>
    <x v="2"/>
    <s v="Weekday"/>
    <n v="22"/>
    <n v="26"/>
    <n v="13"/>
    <x v="5"/>
    <x v="0"/>
    <n v="572"/>
    <n v="286"/>
    <n v="286"/>
    <x v="0"/>
  </r>
  <r>
    <d v="2022-12-15T00:00:00"/>
    <x v="0"/>
    <x v="0"/>
    <x v="2"/>
    <s v="Weekend"/>
    <n v="32"/>
    <n v="32"/>
    <n v="16"/>
    <x v="5"/>
    <x v="0"/>
    <n v="1024"/>
    <n v="512"/>
    <n v="512"/>
    <x v="0"/>
  </r>
  <r>
    <d v="2022-12-25T00:00:00"/>
    <x v="1"/>
    <x v="0"/>
    <x v="2"/>
    <s v="Weekend"/>
    <n v="88"/>
    <n v="44"/>
    <n v="18"/>
    <x v="5"/>
    <x v="1"/>
    <n v="3872"/>
    <n v="1584"/>
    <n v="2288"/>
    <x v="0"/>
  </r>
  <r>
    <d v="2022-12-25T00:00:00"/>
    <x v="3"/>
    <x v="1"/>
    <x v="2"/>
    <s v="Weekend"/>
    <n v="65"/>
    <n v="38"/>
    <n v="15"/>
    <x v="5"/>
    <x v="1"/>
    <n v="2470"/>
    <n v="975"/>
    <n v="1495"/>
    <x v="0"/>
  </r>
  <r>
    <d v="2022-12-25T00:00:00"/>
    <x v="4"/>
    <x v="2"/>
    <x v="2"/>
    <s v="Weekend"/>
    <n v="50"/>
    <n v="58"/>
    <n v="22"/>
    <x v="5"/>
    <x v="1"/>
    <n v="2900"/>
    <n v="1100"/>
    <n v="1800"/>
    <x v="0"/>
  </r>
  <r>
    <d v="2023-01-01T00:00:00"/>
    <x v="2"/>
    <x v="2"/>
    <x v="2"/>
    <s v="Weekday"/>
    <n v="22"/>
    <n v="26"/>
    <n v="13"/>
    <x v="6"/>
    <x v="0"/>
    <n v="572"/>
    <n v="286"/>
    <n v="286"/>
    <x v="1"/>
  </r>
  <r>
    <d v="2023-01-08T00:00:00"/>
    <x v="1"/>
    <x v="0"/>
    <x v="2"/>
    <s v="Weekday"/>
    <n v="38"/>
    <n v="38"/>
    <n v="18"/>
    <x v="6"/>
    <x v="0"/>
    <n v="1444"/>
    <n v="684"/>
    <n v="760"/>
    <x v="1"/>
  </r>
  <r>
    <d v="2023-01-15T00:00:00"/>
    <x v="0"/>
    <x v="1"/>
    <x v="2"/>
    <s v="Weekday"/>
    <n v="28"/>
    <n v="30"/>
    <n v="16"/>
    <x v="6"/>
    <x v="0"/>
    <n v="840"/>
    <n v="448"/>
    <n v="392"/>
    <x v="1"/>
  </r>
  <r>
    <d v="2023-01-22T00:00:00"/>
    <x v="3"/>
    <x v="2"/>
    <x v="2"/>
    <s v="Weekday"/>
    <n v="25"/>
    <n v="28"/>
    <n v="15"/>
    <x v="5"/>
    <x v="0"/>
    <n v="700"/>
    <n v="375"/>
    <n v="325"/>
    <x v="1"/>
  </r>
  <r>
    <d v="2023-01-26T00:00:00"/>
    <x v="0"/>
    <x v="0"/>
    <x v="2"/>
    <s v="Weekend"/>
    <n v="58"/>
    <n v="35"/>
    <n v="16"/>
    <x v="5"/>
    <x v="1"/>
    <n v="2030"/>
    <n v="928"/>
    <n v="1102"/>
    <x v="1"/>
  </r>
  <r>
    <d v="2023-01-26T00:00:00"/>
    <x v="1"/>
    <x v="1"/>
    <x v="2"/>
    <s v="Weekend"/>
    <n v="65"/>
    <n v="40"/>
    <n v="18"/>
    <x v="5"/>
    <x v="1"/>
    <n v="2600"/>
    <n v="1170"/>
    <n v="1430"/>
    <x v="1"/>
  </r>
  <r>
    <d v="2023-01-26T00:00:00"/>
    <x v="4"/>
    <x v="2"/>
    <x v="2"/>
    <s v="Weekend"/>
    <n v="42"/>
    <n v="55"/>
    <n v="22"/>
    <x v="5"/>
    <x v="1"/>
    <n v="2310"/>
    <n v="924"/>
    <n v="1386"/>
    <x v="1"/>
  </r>
  <r>
    <d v="2023-02-01T00:00:00"/>
    <x v="2"/>
    <x v="0"/>
    <x v="2"/>
    <s v="Weekday"/>
    <n v="25"/>
    <n v="26"/>
    <n v="13"/>
    <x v="5"/>
    <x v="0"/>
    <n v="650"/>
    <n v="325"/>
    <n v="325"/>
    <x v="1"/>
  </r>
  <r>
    <d v="2023-02-10T00:00:00"/>
    <x v="1"/>
    <x v="1"/>
    <x v="2"/>
    <s v="Weekend"/>
    <n v="48"/>
    <n v="38"/>
    <n v="18"/>
    <x v="4"/>
    <x v="0"/>
    <n v="1824"/>
    <n v="864"/>
    <n v="960"/>
    <x v="1"/>
  </r>
  <r>
    <d v="2023-02-15T00:00:00"/>
    <x v="3"/>
    <x v="2"/>
    <x v="2"/>
    <s v="Weekday"/>
    <n v="32"/>
    <n v="30"/>
    <n v="15"/>
    <x v="4"/>
    <x v="0"/>
    <n v="960"/>
    <n v="480"/>
    <n v="480"/>
    <x v="1"/>
  </r>
  <r>
    <d v="2023-03-01T00:00:00"/>
    <x v="0"/>
    <x v="0"/>
    <x v="0"/>
    <s v="Weekday"/>
    <n v="65"/>
    <n v="35"/>
    <n v="16"/>
    <x v="7"/>
    <x v="0"/>
    <n v="2275"/>
    <n v="1040"/>
    <n v="1235"/>
    <x v="1"/>
  </r>
  <r>
    <d v="2023-03-08T00:00:00"/>
    <x v="2"/>
    <x v="1"/>
    <x v="0"/>
    <s v="Weekday"/>
    <n v="45"/>
    <n v="28"/>
    <n v="13"/>
    <x v="7"/>
    <x v="1"/>
    <n v="1260"/>
    <n v="585"/>
    <n v="675"/>
    <x v="1"/>
  </r>
  <r>
    <d v="2023-03-15T00:00:00"/>
    <x v="1"/>
    <x v="2"/>
    <x v="0"/>
    <s v="Weekday"/>
    <n v="58"/>
    <n v="38"/>
    <n v="18"/>
    <x v="7"/>
    <x v="0"/>
    <n v="2204"/>
    <n v="1044"/>
    <n v="1160"/>
    <x v="1"/>
  </r>
  <r>
    <d v="2023-03-22T00:00:00"/>
    <x v="0"/>
    <x v="0"/>
    <x v="0"/>
    <s v="Weekend"/>
    <n v="88"/>
    <n v="38"/>
    <n v="16"/>
    <x v="0"/>
    <x v="0"/>
    <n v="3344"/>
    <n v="1408"/>
    <n v="1936"/>
    <x v="1"/>
  </r>
  <r>
    <d v="2023-03-25T00:00:00"/>
    <x v="3"/>
    <x v="1"/>
    <x v="0"/>
    <s v="Weekend"/>
    <n v="70"/>
    <n v="35"/>
    <n v="15"/>
    <x v="0"/>
    <x v="0"/>
    <n v="2450"/>
    <n v="1050"/>
    <n v="1400"/>
    <x v="1"/>
  </r>
  <r>
    <d v="2023-04-01T00:00:00"/>
    <x v="0"/>
    <x v="0"/>
    <x v="0"/>
    <s v="Weekday"/>
    <n v="80"/>
    <n v="36"/>
    <n v="17"/>
    <x v="0"/>
    <x v="0"/>
    <n v="2880"/>
    <n v="1360"/>
    <n v="1520"/>
    <x v="1"/>
  </r>
  <r>
    <d v="2023-04-05T00:00:00"/>
    <x v="1"/>
    <x v="1"/>
    <x v="0"/>
    <s v="Weekend"/>
    <n v="72"/>
    <n v="42"/>
    <n v="19"/>
    <x v="0"/>
    <x v="0"/>
    <n v="3024"/>
    <n v="1368"/>
    <n v="1656"/>
    <x v="1"/>
  </r>
  <r>
    <d v="2023-04-08T00:00:00"/>
    <x v="2"/>
    <x v="2"/>
    <x v="0"/>
    <s v="Weekday"/>
    <n v="55"/>
    <n v="30"/>
    <n v="14"/>
    <x v="0"/>
    <x v="0"/>
    <n v="1650"/>
    <n v="770"/>
    <n v="880"/>
    <x v="1"/>
  </r>
  <r>
    <d v="2023-04-12T00:00:00"/>
    <x v="3"/>
    <x v="0"/>
    <x v="0"/>
    <s v="Weekend"/>
    <n v="62"/>
    <n v="36"/>
    <n v="16"/>
    <x v="0"/>
    <x v="0"/>
    <n v="2232"/>
    <n v="992"/>
    <n v="1240"/>
    <x v="1"/>
  </r>
  <r>
    <d v="2023-04-14T00:00:00"/>
    <x v="0"/>
    <x v="0"/>
    <x v="0"/>
    <s v="Weekend"/>
    <n v="140"/>
    <n v="40"/>
    <n v="17"/>
    <x v="0"/>
    <x v="1"/>
    <n v="5600"/>
    <n v="2380"/>
    <n v="3220"/>
    <x v="1"/>
  </r>
  <r>
    <d v="2023-04-14T00:00:00"/>
    <x v="4"/>
    <x v="1"/>
    <x v="0"/>
    <s v="Weekend"/>
    <n v="75"/>
    <n v="60"/>
    <n v="23"/>
    <x v="0"/>
    <x v="1"/>
    <n v="4500"/>
    <n v="1725"/>
    <n v="2775"/>
    <x v="1"/>
  </r>
  <r>
    <d v="2023-04-14T00:00:00"/>
    <x v="1"/>
    <x v="2"/>
    <x v="0"/>
    <s v="Weekend"/>
    <n v="100"/>
    <n v="44"/>
    <n v="19"/>
    <x v="0"/>
    <x v="1"/>
    <n v="4400"/>
    <n v="1900"/>
    <n v="2500"/>
    <x v="1"/>
  </r>
  <r>
    <d v="2023-04-18T00:00:00"/>
    <x v="2"/>
    <x v="0"/>
    <x v="0"/>
    <s v="Weekday"/>
    <n v="58"/>
    <n v="30"/>
    <n v="14"/>
    <x v="0"/>
    <x v="0"/>
    <n v="1740"/>
    <n v="812"/>
    <n v="928"/>
    <x v="1"/>
  </r>
  <r>
    <d v="2023-04-22T00:00:00"/>
    <x v="0"/>
    <x v="2"/>
    <x v="0"/>
    <s v="Weekday"/>
    <n v="85"/>
    <n v="36"/>
    <n v="17"/>
    <x v="0"/>
    <x v="0"/>
    <n v="3060"/>
    <n v="1445"/>
    <n v="1615"/>
    <x v="1"/>
  </r>
  <r>
    <d v="2023-04-25T00:00:00"/>
    <x v="1"/>
    <x v="1"/>
    <x v="0"/>
    <s v="Weekend"/>
    <n v="95"/>
    <n v="42"/>
    <n v="19"/>
    <x v="0"/>
    <x v="0"/>
    <n v="3990"/>
    <n v="1805"/>
    <n v="2185"/>
    <x v="1"/>
  </r>
  <r>
    <d v="2023-05-01T00:00:00"/>
    <x v="0"/>
    <x v="0"/>
    <x v="0"/>
    <s v="Weekday"/>
    <n v="95"/>
    <n v="38"/>
    <n v="17"/>
    <x v="0"/>
    <x v="0"/>
    <n v="3610"/>
    <n v="1615"/>
    <n v="1995"/>
    <x v="1"/>
  </r>
  <r>
    <d v="2023-05-05T00:00:00"/>
    <x v="4"/>
    <x v="2"/>
    <x v="0"/>
    <s v="Weekend"/>
    <n v="60"/>
    <n v="62"/>
    <n v="23"/>
    <x v="0"/>
    <x v="0"/>
    <n v="3720"/>
    <n v="1380"/>
    <n v="2340"/>
    <x v="1"/>
  </r>
  <r>
    <d v="2023-05-08T00:00:00"/>
    <x v="2"/>
    <x v="1"/>
    <x v="0"/>
    <s v="Weekday"/>
    <n v="62"/>
    <n v="30"/>
    <n v="14"/>
    <x v="1"/>
    <x v="0"/>
    <n v="1860"/>
    <n v="868"/>
    <n v="992"/>
    <x v="1"/>
  </r>
  <r>
    <d v="2023-05-12T00:00:00"/>
    <x v="0"/>
    <x v="0"/>
    <x v="0"/>
    <s v="Weekend"/>
    <n v="148"/>
    <n v="42"/>
    <n v="17"/>
    <x v="1"/>
    <x v="0"/>
    <n v="6216"/>
    <n v="2516"/>
    <n v="3700"/>
    <x v="1"/>
  </r>
  <r>
    <d v="2023-05-15T00:00:00"/>
    <x v="1"/>
    <x v="2"/>
    <x v="0"/>
    <s v="Weekday"/>
    <n v="90"/>
    <n v="44"/>
    <n v="19"/>
    <x v="1"/>
    <x v="0"/>
    <n v="3960"/>
    <n v="1710"/>
    <n v="2250"/>
    <x v="1"/>
  </r>
  <r>
    <d v="2023-05-18T00:00:00"/>
    <x v="3"/>
    <x v="1"/>
    <x v="0"/>
    <s v="Weekend"/>
    <n v="108"/>
    <n v="40"/>
    <n v="16"/>
    <x v="1"/>
    <x v="0"/>
    <n v="4320"/>
    <n v="1728"/>
    <n v="2592"/>
    <x v="1"/>
  </r>
  <r>
    <d v="2023-05-22T00:00:00"/>
    <x v="0"/>
    <x v="0"/>
    <x v="0"/>
    <s v="Weekday"/>
    <n v="112"/>
    <n v="42"/>
    <n v="17"/>
    <x v="1"/>
    <x v="0"/>
    <n v="4704"/>
    <n v="1904"/>
    <n v="2800"/>
    <x v="1"/>
  </r>
  <r>
    <d v="2023-05-25T00:00:00"/>
    <x v="4"/>
    <x v="0"/>
    <x v="0"/>
    <s v="Weekend"/>
    <n v="68"/>
    <n v="64"/>
    <n v="23"/>
    <x v="1"/>
    <x v="0"/>
    <n v="4352"/>
    <n v="1564"/>
    <n v="2788"/>
    <x v="1"/>
  </r>
  <r>
    <d v="2023-05-28T00:00:00"/>
    <x v="2"/>
    <x v="2"/>
    <x v="0"/>
    <s v="Weekday"/>
    <n v="68"/>
    <n v="32"/>
    <n v="14"/>
    <x v="1"/>
    <x v="0"/>
    <n v="2176"/>
    <n v="952"/>
    <n v="1224"/>
    <x v="1"/>
  </r>
  <r>
    <d v="2023-06-01T00:00:00"/>
    <x v="0"/>
    <x v="0"/>
    <x v="0"/>
    <s v="Weekday"/>
    <n v="125"/>
    <n v="44"/>
    <n v="17"/>
    <x v="1"/>
    <x v="0"/>
    <n v="5500"/>
    <n v="2125"/>
    <n v="3375"/>
    <x v="1"/>
  </r>
  <r>
    <d v="2023-06-05T00:00:00"/>
    <x v="1"/>
    <x v="1"/>
    <x v="0"/>
    <s v="Weekend"/>
    <n v="115"/>
    <n v="46"/>
    <n v="19"/>
    <x v="1"/>
    <x v="0"/>
    <n v="5290"/>
    <n v="2185"/>
    <n v="3105"/>
    <x v="1"/>
  </r>
  <r>
    <d v="2023-06-08T00:00:00"/>
    <x v="3"/>
    <x v="2"/>
    <x v="0"/>
    <s v="Weekday"/>
    <n v="100"/>
    <n v="40"/>
    <n v="16"/>
    <x v="1"/>
    <x v="0"/>
    <n v="4000"/>
    <n v="1600"/>
    <n v="2400"/>
    <x v="1"/>
  </r>
  <r>
    <d v="2023-06-12T00:00:00"/>
    <x v="0"/>
    <x v="0"/>
    <x v="0"/>
    <s v="Weekend"/>
    <n v="158"/>
    <n v="46"/>
    <n v="17"/>
    <x v="1"/>
    <x v="0"/>
    <n v="7268"/>
    <n v="2686"/>
    <n v="4582"/>
    <x v="1"/>
  </r>
  <r>
    <d v="2023-06-15T00:00:00"/>
    <x v="4"/>
    <x v="2"/>
    <x v="0"/>
    <s v="Weekday"/>
    <n v="72"/>
    <n v="65"/>
    <n v="23"/>
    <x v="0"/>
    <x v="0"/>
    <n v="4680"/>
    <n v="1656"/>
    <n v="3024"/>
    <x v="1"/>
  </r>
  <r>
    <d v="2023-06-18T00:00:00"/>
    <x v="2"/>
    <x v="1"/>
    <x v="0"/>
    <s v="Weekday"/>
    <n v="78"/>
    <n v="32"/>
    <n v="14"/>
    <x v="0"/>
    <x v="0"/>
    <n v="2496"/>
    <n v="1092"/>
    <n v="1404"/>
    <x v="1"/>
  </r>
  <r>
    <d v="2023-06-22T00:00:00"/>
    <x v="1"/>
    <x v="0"/>
    <x v="0"/>
    <s v="Weekend"/>
    <n v="120"/>
    <n v="46"/>
    <n v="19"/>
    <x v="0"/>
    <x v="0"/>
    <n v="5520"/>
    <n v="2280"/>
    <n v="3240"/>
    <x v="1"/>
  </r>
  <r>
    <d v="2023-06-25T00:00:00"/>
    <x v="0"/>
    <x v="2"/>
    <x v="0"/>
    <s v="Weekday"/>
    <n v="130"/>
    <n v="44"/>
    <n v="17"/>
    <x v="0"/>
    <x v="0"/>
    <n v="5720"/>
    <n v="2210"/>
    <n v="3510"/>
    <x v="1"/>
  </r>
  <r>
    <d v="2023-07-01T00:00:00"/>
    <x v="0"/>
    <x v="0"/>
    <x v="1"/>
    <s v="Weekday"/>
    <n v="52"/>
    <n v="38"/>
    <n v="17"/>
    <x v="2"/>
    <x v="0"/>
    <n v="1976"/>
    <n v="884"/>
    <n v="1092"/>
    <x v="1"/>
  </r>
  <r>
    <d v="2023-07-05T00:00:00"/>
    <x v="1"/>
    <x v="1"/>
    <x v="1"/>
    <s v="Weekend"/>
    <n v="68"/>
    <n v="42"/>
    <n v="19"/>
    <x v="2"/>
    <x v="0"/>
    <n v="2856"/>
    <n v="1292"/>
    <n v="1564"/>
    <x v="1"/>
  </r>
  <r>
    <d v="2023-07-08T00:00:00"/>
    <x v="2"/>
    <x v="2"/>
    <x v="1"/>
    <s v="Weekday"/>
    <n v="40"/>
    <n v="28"/>
    <n v="14"/>
    <x v="2"/>
    <x v="0"/>
    <n v="1120"/>
    <n v="560"/>
    <n v="560"/>
    <x v="1"/>
  </r>
  <r>
    <d v="2023-07-12T00:00:00"/>
    <x v="3"/>
    <x v="0"/>
    <x v="1"/>
    <s v="Weekend"/>
    <n v="58"/>
    <n v="35"/>
    <n v="16"/>
    <x v="3"/>
    <x v="0"/>
    <n v="2030"/>
    <n v="928"/>
    <n v="1102"/>
    <x v="1"/>
  </r>
  <r>
    <d v="2023-07-15T00:00:00"/>
    <x v="0"/>
    <x v="1"/>
    <x v="1"/>
    <s v="Weekday"/>
    <n v="48"/>
    <n v="36"/>
    <n v="17"/>
    <x v="2"/>
    <x v="0"/>
    <n v="1728"/>
    <n v="816"/>
    <n v="912"/>
    <x v="1"/>
  </r>
  <r>
    <d v="2023-07-18T00:00:00"/>
    <x v="1"/>
    <x v="2"/>
    <x v="1"/>
    <s v="Weekday"/>
    <n v="62"/>
    <n v="40"/>
    <n v="19"/>
    <x v="3"/>
    <x v="0"/>
    <n v="2480"/>
    <n v="1178"/>
    <n v="1302"/>
    <x v="1"/>
  </r>
  <r>
    <d v="2023-07-22T00:00:00"/>
    <x v="4"/>
    <x v="0"/>
    <x v="1"/>
    <s v="Weekend"/>
    <n v="38"/>
    <n v="56"/>
    <n v="23"/>
    <x v="3"/>
    <x v="0"/>
    <n v="2128"/>
    <n v="874"/>
    <n v="1254"/>
    <x v="1"/>
  </r>
  <r>
    <d v="2023-07-25T00:00:00"/>
    <x v="2"/>
    <x v="1"/>
    <x v="1"/>
    <s v="Weekday"/>
    <n v="38"/>
    <n v="28"/>
    <n v="14"/>
    <x v="2"/>
    <x v="0"/>
    <n v="1064"/>
    <n v="532"/>
    <n v="532"/>
    <x v="1"/>
  </r>
  <r>
    <d v="2023-08-01T00:00:00"/>
    <x v="0"/>
    <x v="0"/>
    <x v="1"/>
    <s v="Weekday"/>
    <n v="50"/>
    <n v="36"/>
    <n v="17"/>
    <x v="2"/>
    <x v="0"/>
    <n v="1800"/>
    <n v="850"/>
    <n v="950"/>
    <x v="1"/>
  </r>
  <r>
    <d v="2023-08-05T00:00:00"/>
    <x v="1"/>
    <x v="2"/>
    <x v="1"/>
    <s v="Weekend"/>
    <n v="72"/>
    <n v="42"/>
    <n v="19"/>
    <x v="3"/>
    <x v="0"/>
    <n v="3024"/>
    <n v="1368"/>
    <n v="1656"/>
    <x v="1"/>
  </r>
  <r>
    <d v="2023-08-08T00:00:00"/>
    <x v="3"/>
    <x v="1"/>
    <x v="1"/>
    <s v="Weekday"/>
    <n v="52"/>
    <n v="33"/>
    <n v="16"/>
    <x v="2"/>
    <x v="0"/>
    <n v="1716"/>
    <n v="832"/>
    <n v="884"/>
    <x v="1"/>
  </r>
  <r>
    <d v="2023-08-15T00:00:00"/>
    <x v="0"/>
    <x v="0"/>
    <x v="1"/>
    <s v="Weekend"/>
    <n v="95"/>
    <n v="42"/>
    <n v="17"/>
    <x v="3"/>
    <x v="1"/>
    <n v="3990"/>
    <n v="1615"/>
    <n v="2375"/>
    <x v="1"/>
  </r>
  <r>
    <d v="2023-08-15T00:00:00"/>
    <x v="1"/>
    <x v="1"/>
    <x v="1"/>
    <s v="Weekend"/>
    <n v="85"/>
    <n v="46"/>
    <n v="19"/>
    <x v="3"/>
    <x v="1"/>
    <n v="3910"/>
    <n v="1615"/>
    <n v="2295"/>
    <x v="1"/>
  </r>
  <r>
    <d v="2023-08-15T00:00:00"/>
    <x v="4"/>
    <x v="2"/>
    <x v="1"/>
    <s v="Weekend"/>
    <n v="58"/>
    <n v="62"/>
    <n v="23"/>
    <x v="3"/>
    <x v="1"/>
    <n v="3596"/>
    <n v="1334"/>
    <n v="2262"/>
    <x v="1"/>
  </r>
  <r>
    <d v="2023-08-20T00:00:00"/>
    <x v="2"/>
    <x v="0"/>
    <x v="1"/>
    <s v="Weekday"/>
    <n v="42"/>
    <n v="28"/>
    <n v="14"/>
    <x v="2"/>
    <x v="0"/>
    <n v="1176"/>
    <n v="588"/>
    <n v="588"/>
    <x v="1"/>
  </r>
  <r>
    <d v="2023-08-25T00:00:00"/>
    <x v="0"/>
    <x v="1"/>
    <x v="1"/>
    <s v="Weekday"/>
    <n v="55"/>
    <n v="36"/>
    <n v="17"/>
    <x v="3"/>
    <x v="0"/>
    <n v="1980"/>
    <n v="935"/>
    <n v="1045"/>
    <x v="1"/>
  </r>
  <r>
    <d v="2023-09-01T00:00:00"/>
    <x v="1"/>
    <x v="2"/>
    <x v="1"/>
    <s v="Weekend"/>
    <n v="70"/>
    <n v="42"/>
    <n v="19"/>
    <x v="3"/>
    <x v="0"/>
    <n v="2940"/>
    <n v="1330"/>
    <n v="1610"/>
    <x v="1"/>
  </r>
  <r>
    <d v="2023-09-08T00:00:00"/>
    <x v="3"/>
    <x v="0"/>
    <x v="1"/>
    <s v="Weekday"/>
    <n v="50"/>
    <n v="33"/>
    <n v="16"/>
    <x v="3"/>
    <x v="0"/>
    <n v="1650"/>
    <n v="800"/>
    <n v="850"/>
    <x v="1"/>
  </r>
  <r>
    <d v="2023-09-15T00:00:00"/>
    <x v="0"/>
    <x v="1"/>
    <x v="1"/>
    <s v="Weekend"/>
    <n v="62"/>
    <n v="36"/>
    <n v="17"/>
    <x v="3"/>
    <x v="0"/>
    <n v="2232"/>
    <n v="1054"/>
    <n v="1178"/>
    <x v="1"/>
  </r>
  <r>
    <d v="2023-09-22T00:00:00"/>
    <x v="2"/>
    <x v="2"/>
    <x v="1"/>
    <s v="Weekday"/>
    <n v="40"/>
    <n v="28"/>
    <n v="14"/>
    <x v="3"/>
    <x v="0"/>
    <n v="1120"/>
    <n v="560"/>
    <n v="560"/>
    <x v="1"/>
  </r>
  <r>
    <d v="2023-10-01T00:00:00"/>
    <x v="0"/>
    <x v="0"/>
    <x v="2"/>
    <s v="Weekday"/>
    <n v="40"/>
    <n v="33"/>
    <n v="17"/>
    <x v="4"/>
    <x v="0"/>
    <n v="1320"/>
    <n v="680"/>
    <n v="640"/>
    <x v="1"/>
  </r>
  <r>
    <d v="2023-10-05T00:00:00"/>
    <x v="1"/>
    <x v="1"/>
    <x v="2"/>
    <s v="Weekend"/>
    <n v="58"/>
    <n v="40"/>
    <n v="19"/>
    <x v="4"/>
    <x v="0"/>
    <n v="2320"/>
    <n v="1102"/>
    <n v="1218"/>
    <x v="1"/>
  </r>
  <r>
    <d v="2023-10-08T00:00:00"/>
    <x v="4"/>
    <x v="2"/>
    <x v="2"/>
    <s v="Weekday"/>
    <n v="32"/>
    <n v="54"/>
    <n v="23"/>
    <x v="4"/>
    <x v="0"/>
    <n v="1728"/>
    <n v="736"/>
    <n v="992"/>
    <x v="1"/>
  </r>
  <r>
    <d v="2023-10-12T00:00:00"/>
    <x v="2"/>
    <x v="0"/>
    <x v="2"/>
    <s v="Weekday"/>
    <n v="30"/>
    <n v="26"/>
    <n v="14"/>
    <x v="4"/>
    <x v="0"/>
    <n v="780"/>
    <n v="420"/>
    <n v="360"/>
    <x v="1"/>
  </r>
  <r>
    <d v="2023-10-15T00:00:00"/>
    <x v="3"/>
    <x v="1"/>
    <x v="2"/>
    <s v="Weekend"/>
    <n v="44"/>
    <n v="32"/>
    <n v="16"/>
    <x v="4"/>
    <x v="0"/>
    <n v="1408"/>
    <n v="704"/>
    <n v="704"/>
    <x v="1"/>
  </r>
  <r>
    <d v="2023-10-20T00:00:00"/>
    <x v="0"/>
    <x v="0"/>
    <x v="2"/>
    <s v="Weekend"/>
    <n v="68"/>
    <n v="36"/>
    <n v="17"/>
    <x v="4"/>
    <x v="1"/>
    <n v="2448"/>
    <n v="1156"/>
    <n v="1292"/>
    <x v="1"/>
  </r>
  <r>
    <d v="2023-10-20T00:00:00"/>
    <x v="1"/>
    <x v="2"/>
    <x v="2"/>
    <s v="Weekend"/>
    <n v="80"/>
    <n v="44"/>
    <n v="19"/>
    <x v="4"/>
    <x v="1"/>
    <n v="3520"/>
    <n v="1520"/>
    <n v="2000"/>
    <x v="1"/>
  </r>
  <r>
    <d v="2023-10-25T00:00:00"/>
    <x v="0"/>
    <x v="1"/>
    <x v="2"/>
    <s v="Weekday"/>
    <n v="38"/>
    <n v="33"/>
    <n v="17"/>
    <x v="4"/>
    <x v="0"/>
    <n v="1254"/>
    <n v="646"/>
    <n v="608"/>
    <x v="1"/>
  </r>
  <r>
    <d v="2023-11-01T00:00:00"/>
    <x v="1"/>
    <x v="0"/>
    <x v="2"/>
    <s v="Weekday"/>
    <n v="45"/>
    <n v="40"/>
    <n v="19"/>
    <x v="5"/>
    <x v="0"/>
    <n v="1800"/>
    <n v="855"/>
    <n v="945"/>
    <x v="1"/>
  </r>
  <r>
    <d v="2023-11-05T00:00:00"/>
    <x v="2"/>
    <x v="2"/>
    <x v="2"/>
    <s v="Weekday"/>
    <n v="28"/>
    <n v="26"/>
    <n v="14"/>
    <x v="5"/>
    <x v="0"/>
    <n v="728"/>
    <n v="392"/>
    <n v="336"/>
    <x v="1"/>
  </r>
  <r>
    <d v="2023-11-08T00:00:00"/>
    <x v="3"/>
    <x v="1"/>
    <x v="2"/>
    <s v="Weekend"/>
    <n v="40"/>
    <n v="30"/>
    <n v="16"/>
    <x v="5"/>
    <x v="0"/>
    <n v="1200"/>
    <n v="640"/>
    <n v="560"/>
    <x v="1"/>
  </r>
  <r>
    <d v="2023-11-12T00:00:00"/>
    <x v="4"/>
    <x v="0"/>
    <x v="2"/>
    <s v="Weekday"/>
    <n v="30"/>
    <n v="52"/>
    <n v="23"/>
    <x v="5"/>
    <x v="0"/>
    <n v="1560"/>
    <n v="690"/>
    <n v="870"/>
    <x v="1"/>
  </r>
  <r>
    <d v="2023-12-01T00:00:00"/>
    <x v="1"/>
    <x v="1"/>
    <x v="2"/>
    <s v="Weekday"/>
    <n v="42"/>
    <n v="40"/>
    <n v="19"/>
    <x v="5"/>
    <x v="0"/>
    <n v="1680"/>
    <n v="798"/>
    <n v="882"/>
    <x v="1"/>
  </r>
  <r>
    <d v="2023-12-10T00:00:00"/>
    <x v="2"/>
    <x v="2"/>
    <x v="2"/>
    <s v="Weekday"/>
    <n v="24"/>
    <n v="26"/>
    <n v="14"/>
    <x v="5"/>
    <x v="0"/>
    <n v="624"/>
    <n v="336"/>
    <n v="288"/>
    <x v="1"/>
  </r>
  <r>
    <d v="2023-12-15T00:00:00"/>
    <x v="0"/>
    <x v="0"/>
    <x v="2"/>
    <s v="Weekend"/>
    <n v="35"/>
    <n v="33"/>
    <n v="17"/>
    <x v="5"/>
    <x v="0"/>
    <n v="1155"/>
    <n v="595"/>
    <n v="560"/>
    <x v="1"/>
  </r>
  <r>
    <d v="2023-12-25T00:00:00"/>
    <x v="1"/>
    <x v="0"/>
    <x v="2"/>
    <s v="Weekend"/>
    <n v="92"/>
    <n v="46"/>
    <n v="19"/>
    <x v="5"/>
    <x v="1"/>
    <n v="4232"/>
    <n v="1748"/>
    <n v="2484"/>
    <x v="1"/>
  </r>
  <r>
    <d v="2023-12-25T00:00:00"/>
    <x v="3"/>
    <x v="1"/>
    <x v="2"/>
    <s v="Weekend"/>
    <n v="68"/>
    <n v="40"/>
    <n v="16"/>
    <x v="5"/>
    <x v="1"/>
    <n v="2720"/>
    <n v="1088"/>
    <n v="1632"/>
    <x v="1"/>
  </r>
  <r>
    <d v="2023-12-25T00:00:00"/>
    <x v="4"/>
    <x v="2"/>
    <x v="2"/>
    <s v="Weekend"/>
    <n v="52"/>
    <n v="60"/>
    <n v="23"/>
    <x v="5"/>
    <x v="1"/>
    <n v="3120"/>
    <n v="1196"/>
    <n v="192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16F5FD-1B6C-9648-B37D-CBED8362B48E}" name="PivotTable3"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eason Demand Analysis">
  <location ref="A23:D27" firstHeaderRow="0" firstDataRow="1" firstDataCol="1"/>
  <pivotFields count="13">
    <pivotField showAll="0"/>
    <pivotField showAll="0"/>
    <pivotField showAll="0"/>
    <pivotField axis="axisRow" showAll="0">
      <items count="5">
        <item x="0"/>
        <item x="1"/>
        <item x="2"/>
        <item h="1" x="3"/>
        <item t="default"/>
      </items>
    </pivotField>
    <pivotField showAll="0"/>
    <pivotField dataField="1" showAll="0"/>
    <pivotField showAll="0"/>
    <pivotField showAll="0"/>
    <pivotField showAll="0"/>
    <pivotField showAll="0"/>
    <pivotField dataField="1" showAll="0"/>
    <pivotField showAll="0"/>
    <pivotField showAll="0"/>
  </pivotFields>
  <rowFields count="1">
    <field x="3"/>
  </rowFields>
  <rowItems count="4">
    <i>
      <x/>
    </i>
    <i>
      <x v="1"/>
    </i>
    <i>
      <x v="2"/>
    </i>
    <i t="grand">
      <x/>
    </i>
  </rowItems>
  <colFields count="1">
    <field x="-2"/>
  </colFields>
  <colItems count="3">
    <i>
      <x/>
    </i>
    <i i="1">
      <x v="1"/>
    </i>
    <i i="2">
      <x v="2"/>
    </i>
  </colItems>
  <dataFields count="3">
    <dataField name="Total Units Sold" fld="5" baseField="0" baseItem="0"/>
    <dataField name="Total Revenue" fld="10" baseField="0" baseItem="0"/>
    <dataField name="%Share" fld="5" showDataAs="percentOfTotal" baseField="0" baseItem="0" numFmtId="10"/>
  </dataFields>
  <formats count="1">
    <format dxfId="38">
      <pivotArea dataOnly="0" labelOnly="1" fieldPosition="0">
        <references count="1">
          <reference field="3"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C29771-1890-124D-8B56-2FAE08EBD01A}" name="PivotTable2"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mand Analysis by location">
  <location ref="A14:D17" firstHeaderRow="0" firstDataRow="1" firstDataCol="1"/>
  <pivotFields count="13">
    <pivotField numFmtId="15" showAll="0"/>
    <pivotField showAll="0">
      <items count="6">
        <item x="1"/>
        <item x="4"/>
        <item x="0"/>
        <item x="3"/>
        <item x="2"/>
        <item t="default"/>
      </items>
    </pivotField>
    <pivotField axis="axisRow" showAll="0" sortType="descending">
      <items count="4">
        <item x="0"/>
        <item h="1" x="2"/>
        <item x="1"/>
        <item t="default"/>
      </items>
      <autoSortScope>
        <pivotArea dataOnly="0" outline="0" fieldPosition="0">
          <references count="1">
            <reference field="4294967294" count="1" selected="0">
              <x v="1"/>
            </reference>
          </references>
        </pivotArea>
      </autoSortScope>
    </pivotField>
    <pivotField showAll="0">
      <items count="4">
        <item x="1"/>
        <item h="1" x="0"/>
        <item h="1" x="2"/>
        <item t="default"/>
      </items>
    </pivotField>
    <pivotField showAll="0"/>
    <pivotField dataField="1" showAll="0"/>
    <pivotField showAll="0"/>
    <pivotField showAll="0"/>
    <pivotField showAll="0"/>
    <pivotField showAll="0"/>
    <pivotField dataField="1" showAll="0"/>
    <pivotField showAll="0"/>
    <pivotField showAll="0"/>
  </pivotFields>
  <rowFields count="1">
    <field x="2"/>
  </rowFields>
  <rowItems count="3">
    <i>
      <x/>
    </i>
    <i>
      <x v="2"/>
    </i>
    <i t="grand">
      <x/>
    </i>
  </rowItems>
  <colFields count="1">
    <field x="-2"/>
  </colFields>
  <colItems count="3">
    <i>
      <x/>
    </i>
    <i i="1">
      <x v="1"/>
    </i>
    <i i="2">
      <x v="2"/>
    </i>
  </colItems>
  <dataFields count="3">
    <dataField name="Total Units Sold" fld="5" baseField="0" baseItem="0"/>
    <dataField name="Total Revenue" fld="10" baseField="0" baseItem="0"/>
    <dataField name="%Share" fld="5" showDataAs="percentOfTotal" baseField="0" baseItem="0" numFmtId="10"/>
  </dataFields>
  <formats count="2">
    <format dxfId="40">
      <pivotArea dataOnly="0" labelOnly="1" fieldPosition="0">
        <references count="1">
          <reference field="2" count="1">
            <x v="0"/>
          </reference>
        </references>
      </pivotArea>
    </format>
    <format dxfId="39">
      <pivotArea dataOnly="0" labelOnly="1" fieldPosition="0">
        <references count="1">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C19947-84FE-3A42-BD0A-89F2979E6A2C}" name="PivotTable6"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2:Q8" firstHeaderRow="1" firstDataRow="1" firstDataCol="1"/>
  <pivotFields count="14">
    <pivotField numFmtId="15" showAll="0"/>
    <pivotField axis="axisRow" showAll="0">
      <items count="6">
        <item x="1"/>
        <item x="4"/>
        <item x="0"/>
        <item x="3"/>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1"/>
  </rowFields>
  <rowItems count="6">
    <i>
      <x/>
    </i>
    <i>
      <x v="1"/>
    </i>
    <i>
      <x v="2"/>
    </i>
    <i>
      <x v="3"/>
    </i>
    <i>
      <x v="4"/>
    </i>
    <i t="grand">
      <x/>
    </i>
  </rowItems>
  <colItems count="1">
    <i/>
  </colItems>
  <dataFields count="1">
    <dataField name="Sum of Unit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528048-9220-3D49-9FF2-583AFE1229D0}" name="PivotTable1"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rowHeaderCaption="Demand Analysis by Product">
  <location ref="A3:C9" firstHeaderRow="0" firstDataRow="1" firstDataCol="1"/>
  <pivotFields count="14">
    <pivotField numFmtId="15" showAll="0"/>
    <pivotField axis="axisRow" showAll="0">
      <items count="6">
        <item x="1"/>
        <item x="4"/>
        <item x="0"/>
        <item x="3"/>
        <item x="2"/>
        <item t="default"/>
      </items>
    </pivotField>
    <pivotField showAll="0">
      <items count="4">
        <item x="0"/>
        <item x="2"/>
        <item x="1"/>
        <item t="default"/>
      </items>
    </pivotField>
    <pivotField showAll="0">
      <items count="4">
        <item h="1" x="1"/>
        <item h="1" x="0"/>
        <item x="2"/>
        <item t="default"/>
      </items>
    </pivotField>
    <pivotField showAll="0"/>
    <pivotField showAll="0"/>
    <pivotField showAll="0"/>
    <pivotField showAll="0"/>
    <pivotField showAll="0">
      <items count="9">
        <item x="3"/>
        <item h="1" x="5"/>
        <item h="1" x="4"/>
        <item h="1" x="0"/>
        <item h="1" x="2"/>
        <item h="1" x="6"/>
        <item h="1" x="1"/>
        <item h="1" x="7"/>
        <item t="default"/>
      </items>
    </pivotField>
    <pivotField showAll="0">
      <items count="3">
        <item x="0"/>
        <item h="1" x="1"/>
        <item t="default"/>
      </items>
    </pivotField>
    <pivotField dataField="1" showAll="0"/>
    <pivotField showAll="0"/>
    <pivotField showAll="0"/>
    <pivotField dataField="1" showAll="0"/>
  </pivotFields>
  <rowFields count="1">
    <field x="1"/>
  </rowFields>
  <rowItems count="6">
    <i>
      <x/>
    </i>
    <i>
      <x v="1"/>
    </i>
    <i>
      <x v="2"/>
    </i>
    <i>
      <x v="3"/>
    </i>
    <i>
      <x v="4"/>
    </i>
    <i t="grand">
      <x/>
    </i>
  </rowItems>
  <colFields count="1">
    <field x="-2"/>
  </colFields>
  <colItems count="2">
    <i>
      <x/>
    </i>
    <i i="1">
      <x v="1"/>
    </i>
  </colItems>
  <dataFields count="2">
    <dataField name="Sum of Revenue" fld="10" baseField="0" baseItem="0"/>
    <dataField name="Sum of Year Column" fld="13" baseField="0" baseItem="0"/>
  </dataFields>
  <formats count="1">
    <format dxfId="41">
      <pivotArea dataOnly="0" labelOnly="1" fieldPosition="0">
        <references count="1">
          <reference field="1" count="1">
            <x v="2"/>
          </reference>
        </references>
      </pivotArea>
    </format>
  </formats>
  <chartFormats count="10">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2">
          <reference field="4294967294" count="1" selected="0">
            <x v="0"/>
          </reference>
          <reference field="1" count="1" selected="0">
            <x v="1"/>
          </reference>
        </references>
      </pivotArea>
    </chartFormat>
    <chartFormat chart="19" format="2" series="1">
      <pivotArea type="data" outline="0" fieldPosition="0">
        <references count="2">
          <reference field="4294967294" count="1" selected="0">
            <x v="0"/>
          </reference>
          <reference field="1" count="1" selected="0">
            <x v="2"/>
          </reference>
        </references>
      </pivotArea>
    </chartFormat>
    <chartFormat chart="19" format="3" series="1">
      <pivotArea type="data" outline="0" fieldPosition="0">
        <references count="2">
          <reference field="4294967294" count="1" selected="0">
            <x v="0"/>
          </reference>
          <reference field="1" count="1" selected="0">
            <x v="3"/>
          </reference>
        </references>
      </pivotArea>
    </chartFormat>
    <chartFormat chart="19" format="4" series="1">
      <pivotArea type="data" outline="0" fieldPosition="0">
        <references count="2">
          <reference field="4294967294" count="1" selected="0">
            <x v="0"/>
          </reference>
          <reference field="1" count="1" selected="0">
            <x v="4"/>
          </reference>
        </references>
      </pivotArea>
    </chartFormat>
    <chartFormat chart="19" format="5" series="1">
      <pivotArea type="data" outline="0" fieldPosition="0">
        <references count="1">
          <reference field="4294967294" count="1" selected="0">
            <x v="1"/>
          </reference>
        </references>
      </pivotArea>
    </chartFormat>
    <chartFormat chart="26" format="6" series="1">
      <pivotArea type="data" outline="0" fieldPosition="0">
        <references count="1">
          <reference field="4294967294" count="1" selected="0">
            <x v="0"/>
          </reference>
        </references>
      </pivotArea>
    </chartFormat>
    <chartFormat chart="26" format="7" series="1">
      <pivotArea type="data" outline="0" fieldPosition="0">
        <references count="1">
          <reference field="4294967294" count="1" selected="0">
            <x v="1"/>
          </reference>
        </references>
      </pivotArea>
    </chartFormat>
    <chartFormat chart="27" format="8" series="1">
      <pivotArea type="data" outline="0" fieldPosition="0">
        <references count="1">
          <reference field="4294967294" count="1" selected="0">
            <x v="0"/>
          </reference>
        </references>
      </pivotArea>
    </chartFormat>
    <chartFormat chart="27"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1C20223-C930-974F-979C-5BD9CAD67D16}" name="PivotTable5" cacheId="4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Flavour X Season" colHeaderCaption="Total Units Sold">
  <location ref="A43:B49" firstHeaderRow="1" firstDataRow="2" firstDataCol="1"/>
  <pivotFields count="13">
    <pivotField numFmtId="15" showAll="0"/>
    <pivotField axis="axisRow" showAll="0">
      <items count="6">
        <item x="1"/>
        <item x="4"/>
        <item x="0"/>
        <item x="3"/>
        <item x="2"/>
        <item t="default"/>
      </items>
    </pivotField>
    <pivotField showAll="0">
      <items count="4">
        <item x="0"/>
        <item h="1" x="2"/>
        <item x="1"/>
        <item t="default"/>
      </items>
    </pivotField>
    <pivotField axis="axisCol" showAll="0">
      <items count="4">
        <item x="1"/>
        <item h="1" x="0"/>
        <item h="1" x="2"/>
        <item t="default"/>
      </items>
    </pivotField>
    <pivotField showAll="0"/>
    <pivotField dataField="1" showAll="0"/>
    <pivotField showAll="0"/>
    <pivotField showAll="0"/>
    <pivotField showAll="0"/>
    <pivotField showAll="0"/>
    <pivotField showAll="0"/>
    <pivotField showAll="0"/>
    <pivotField showAll="0"/>
  </pivotFields>
  <rowFields count="1">
    <field x="1"/>
  </rowFields>
  <rowItems count="5">
    <i>
      <x/>
    </i>
    <i>
      <x v="1"/>
    </i>
    <i>
      <x v="2"/>
    </i>
    <i>
      <x v="3"/>
    </i>
    <i>
      <x v="4"/>
    </i>
  </rowItems>
  <colFields count="1">
    <field x="3"/>
  </colFields>
  <colItems count="1">
    <i>
      <x/>
    </i>
  </colItems>
  <dataFields count="1">
    <dataField name="Sum of Unit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0B0BB77-5CC7-7F42-959C-56E6ACA45F57}" name="PivotTable4" cacheId="46"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mand by Day Type">
  <location ref="A32:D35" firstHeaderRow="0" firstDataRow="1" firstDataCol="1"/>
  <pivotFields count="13">
    <pivotField numFmtId="15" showAll="0"/>
    <pivotField showAll="0">
      <items count="6">
        <item x="1"/>
        <item x="4"/>
        <item x="0"/>
        <item x="3"/>
        <item x="2"/>
        <item t="default"/>
      </items>
    </pivotField>
    <pivotField showAll="0">
      <items count="4">
        <item x="0"/>
        <item h="1" x="2"/>
        <item x="1"/>
        <item t="default"/>
      </items>
    </pivotField>
    <pivotField showAll="0">
      <items count="4">
        <item x="1"/>
        <item h="1" x="0"/>
        <item h="1" x="2"/>
        <item t="default"/>
      </items>
    </pivotField>
    <pivotField axis="axisRow" showAll="0">
      <items count="3">
        <item x="0"/>
        <item x="1"/>
        <item t="default"/>
      </items>
    </pivotField>
    <pivotField dataField="1" showAll="0"/>
    <pivotField showAll="0"/>
    <pivotField showAll="0"/>
    <pivotField showAll="0"/>
    <pivotField showAll="0"/>
    <pivotField dataField="1" showAll="0"/>
    <pivotField showAll="0"/>
    <pivotField showAll="0"/>
  </pivotFields>
  <rowFields count="1">
    <field x="4"/>
  </rowFields>
  <rowItems count="3">
    <i>
      <x/>
    </i>
    <i>
      <x v="1"/>
    </i>
    <i t="grand">
      <x/>
    </i>
  </rowItems>
  <colFields count="1">
    <field x="-2"/>
  </colFields>
  <colItems count="3">
    <i>
      <x/>
    </i>
    <i i="1">
      <x v="1"/>
    </i>
    <i i="2">
      <x v="2"/>
    </i>
  </colItems>
  <dataFields count="3">
    <dataField name="Total Units Sold" fld="5" baseField="0" baseItem="0"/>
    <dataField name="Total Revenue" fld="10" baseField="0" baseItem="0"/>
    <dataField name="%Share" fld="5" showDataAs="percentOfTotal" baseField="0" baseItem="0" numFmtId="10"/>
  </dataFields>
  <formats count="2">
    <format dxfId="43">
      <pivotArea dataOnly="0" labelOnly="1" fieldPosition="0">
        <references count="1">
          <reference field="4" count="1">
            <x v="0"/>
          </reference>
        </references>
      </pivotArea>
    </format>
    <format dxfId="42">
      <pivotArea dataOnly="0" labelOnly="1" fieldPosition="0">
        <references count="1">
          <reference field="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64AEF0-7A14-534F-BCF8-C3C5FBA10C21}" name="PivotTable6"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rowPageCount="1" colPageCount="1"/>
  <pivotFields count="14">
    <pivotField numFmtId="15" showAll="0"/>
    <pivotField axis="axisRow" showAll="0">
      <items count="6">
        <item h="1" x="1"/>
        <item h="1" x="4"/>
        <item h="1" x="0"/>
        <item x="3"/>
        <item h="1" x="2"/>
        <item t="default"/>
      </items>
    </pivotField>
    <pivotField showAll="0"/>
    <pivotField showAll="0"/>
    <pivotField showAll="0"/>
    <pivotField dataField="1" showAll="0"/>
    <pivotField showAll="0"/>
    <pivotField showAll="0"/>
    <pivotField showAll="0"/>
    <pivotField showAll="0"/>
    <pivotField showAll="0"/>
    <pivotField showAll="0"/>
    <pivotField showAll="0"/>
    <pivotField axis="axisPage" multipleItemSelectionAllowed="1" showAll="0">
      <items count="3">
        <item h="1" x="0"/>
        <item x="1"/>
        <item t="default"/>
      </items>
    </pivotField>
  </pivotFields>
  <rowFields count="1">
    <field x="1"/>
  </rowFields>
  <rowItems count="2">
    <i>
      <x v="3"/>
    </i>
    <i t="grand">
      <x/>
    </i>
  </rowItems>
  <colItems count="1">
    <i/>
  </colItems>
  <pageFields count="1">
    <pageField fld="13" hier="-1"/>
  </pageFields>
  <dataFields count="1">
    <dataField name="Sum of Unit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vour" xr10:uid="{5FC3C24D-3FEA-984A-B842-5DBB6A41AAF3}" sourceName="Flavour">
  <pivotTables>
    <pivotTable tabId="6" name="PivotTable1"/>
  </pivotTables>
  <data>
    <tabular pivotCacheId="668132955">
      <items count="5">
        <i x="1" s="1"/>
        <i x="4" s="1"/>
        <i x="0"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EBFA1F5E-5505-B744-9E0B-08369EC1DA0F}" sourceName="Location">
  <pivotTables>
    <pivotTable tabId="6" name="PivotTable1"/>
  </pivotTables>
  <data>
    <tabular pivotCacheId="66813295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9D4EEDAA-AD27-3543-981B-B7BB0F28FF12}" sourceName="Season">
  <pivotTables>
    <pivotTable tabId="6" name="PivotTable1"/>
  </pivotTables>
  <data>
    <tabular pivotCacheId="668132955">
      <items count="3">
        <i x="1"/>
        <i x="0"/>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avour" xr10:uid="{C2848580-AD0C-B54E-B682-E6802BE52159}" cache="Slicer_Flavour" caption="Flavour" rowHeight="251883"/>
  <slicer name="Location" xr10:uid="{6A28B55F-702D-554F-A0C2-AF89BBC4B4F5}" cache="Slicer_Location" caption="Location" rowHeight="251883"/>
  <slicer name="Season" xr10:uid="{0E265546-3416-9448-8190-F9E24310DEE8}" cache="Slicer_Season" caption="Season"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030E8CA-4763-BD41-8D81-D07E34C7A52E}" name="Table1" displayName="Table1" ref="B14:C17" totalsRowShown="0">
  <autoFilter ref="B14:C17" xr:uid="{8030E8CA-4763-BD41-8D81-D07E34C7A52E}"/>
  <tableColumns count="2">
    <tableColumn id="1" xr3:uid="{9767B6F7-CB0A-C34A-96B0-4981338154A5}" name="Metric"/>
    <tableColumn id="2" xr3:uid="{30D03CA3-5573-F344-8407-CABAA7CB2504}" name="Amount (Rs.)"/>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12744F-DD8A-C94A-B271-6596F742C792}" name="Table2" displayName="Table2" ref="B5:F10" totalsRowShown="0">
  <autoFilter ref="B5:F10" xr:uid="{4112744F-DD8A-C94A-B271-6596F742C792}"/>
  <sortState xmlns:xlrd2="http://schemas.microsoft.com/office/spreadsheetml/2017/richdata2" ref="B6:F10">
    <sortCondition descending="1" ref="E5:E10"/>
  </sortState>
  <tableColumns count="5">
    <tableColumn id="1" xr3:uid="{727C5804-7DE2-8348-A192-DEB1584CCE62}" name="Flavour"/>
    <tableColumn id="2" xr3:uid="{63F64295-7970-504B-8397-B98E74306179}" name="Avg Selling Price" dataDxfId="37">
      <calculatedColumnFormula>AVERAGEIF(Cleaned_Data!B:B,TRIM(B6),Cleaned_Data!G:G)</calculatedColumnFormula>
    </tableColumn>
    <tableColumn id="3" xr3:uid="{4F5FB6D2-FB07-F543-8581-47D4CA89A6E2}" name="Avg Cost/Unit" dataDxfId="36">
      <calculatedColumnFormula>AVERAGEIF(Cleaned_Data!B:B,TRIM(B6),Cleaned_Data!H:H)</calculatedColumnFormula>
    </tableColumn>
    <tableColumn id="4" xr3:uid="{C671645E-9445-EA4B-B50D-B2BF702427CE}" name="Gross Margin" dataDxfId="35">
      <calculatedColumnFormula>C6-D6</calculatedColumnFormula>
    </tableColumn>
    <tableColumn id="5" xr3:uid="{F4195865-80A6-8249-88F0-EA6AAC8590D6}" name="Margin %" dataDxfId="34">
      <calculatedColumnFormula>E6/C6</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B326C5-6C63-FE4E-9621-943E1E13A997}" name="Table3" displayName="Table3" ref="B5:F10" totalsRowShown="0" headerRowDxfId="33" tableBorderDxfId="32">
  <autoFilter ref="B5:F10" xr:uid="{E6B326C5-6C63-FE4E-9621-943E1E13A997}"/>
  <tableColumns count="5">
    <tableColumn id="1" xr3:uid="{451B8CA7-AADB-A04C-B7B8-275DB3E002F4}" name="Flavour"/>
    <tableColumn id="2" xr3:uid="{9F1C9552-73A4-954B-AE31-16FE3FC9FC03}" name="Client Avg Price" dataDxfId="31">
      <calculatedColumnFormula>AVERAGEIF(Cleaned_Data!B:B,TRIM(B6),Cleaned_Data!G:G)</calculatedColumnFormula>
    </tableColumn>
    <tableColumn id="3" xr3:uid="{C3D46D3E-1D79-2D4D-B326-6D9CA6BE75E9}" name="Market Avg Price" dataDxfId="30">
      <calculatedColumnFormula>AVERAGEIFS(Competitor_Benchmark_Data!F:F, Competitor_Benchmark_Data!C:C,TRIM(B6), Competitor_Benchmark_Data!A:A,"&lt;&gt;The Client")</calculatedColumnFormula>
    </tableColumn>
    <tableColumn id="4" xr3:uid="{87832A5B-5E20-434E-9ABA-4529CEA42BE3}" name="Difference" dataDxfId="29">
      <calculatedColumnFormula>D6-C6</calculatedColumnFormula>
    </tableColumn>
    <tableColumn id="5" xr3:uid="{66F226F4-EF84-E444-881B-5236862DF831}" name="Position">
      <calculatedColumnFormula>IF(C6&gt;D6, "Above Market", "Below Market")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9638FE-610D-FA44-B4C8-69BF5CC1E62C}" name="Table4" displayName="Table4" ref="B14:C19" totalsRowShown="0" headerRowDxfId="28">
  <autoFilter ref="B14:C19" xr:uid="{449638FE-610D-FA44-B4C8-69BF5CC1E62C}"/>
  <tableColumns count="2">
    <tableColumn id="1" xr3:uid="{EDE8A210-8928-074C-8954-56CBDCC0216E}" name="Flavour"/>
    <tableColumn id="2" xr3:uid="{DCC7D7A7-561B-EA4A-B7C6-8C66BA29180E}" name="Client Avg Price" dataDxfId="27">
      <calculatedColumnFormula>AVERAGEIF(Cleaned_Data!B:B,TRIM(B15),Cleaned_Data!G:G)</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6AC3F1A-1FE4-9343-AFFD-DB054778CD42}" name="Table5" displayName="Table5" ref="B23:E28" totalsRowShown="0" headerRowDxfId="26">
  <autoFilter ref="B23:E28" xr:uid="{F6AC3F1A-1FE4-9343-AFFD-DB054778CD42}"/>
  <tableColumns count="4">
    <tableColumn id="1" xr3:uid="{E69A149B-E820-4245-AEC9-489297FFFEB5}" name="Flavour"/>
    <tableColumn id="2" xr3:uid="{B282FED3-0D9F-D44A-9E02-37138A13CC46}" name="Client Avg Price" dataDxfId="25">
      <calculatedColumnFormula>AVERAGEIF(Cleaned_Data!B:B,TRIM(B24),Cleaned_Data!G:G)</calculatedColumnFormula>
    </tableColumn>
    <tableColumn id="3" xr3:uid="{FC726A20-4E70-CE4A-8B69-0BA8B9B81494}" name="Competitor Avg Price" dataDxfId="24"/>
    <tableColumn id="4" xr3:uid="{535B259E-FE37-CB4B-BFD8-EF85DAF2992C}" name="Gap" dataDxfId="23">
      <calculatedColumnFormula>-(D24-C24)</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1C5E7D-0459-834E-BF06-8731EA568915}" name="Table6" displayName="Table6" ref="B32:D35" totalsRowShown="0" headerRowDxfId="22">
  <autoFilter ref="B32:D35" xr:uid="{081C5E7D-0459-834E-BF06-8731EA568915}"/>
  <tableColumns count="3">
    <tableColumn id="1" xr3:uid="{FF1B7B39-F450-154A-A9C9-9129A8129A83}" name="Season"/>
    <tableColumn id="2" xr3:uid="{E571893B-BB50-B947-A3E8-D2C8829DC411}" name="Multiplier"/>
    <tableColumn id="3" xr3:uid="{C2B872E3-3826-754A-9C1F-E4EC84EEE877}" name="Demand Level"/>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E89F2E-4CF1-EF4D-ADA3-A445C63BAE99}" name="Table7" displayName="Table7" ref="A46:I61" totalsRowShown="0">
  <autoFilter ref="A46:I61" xr:uid="{B1E89F2E-4CF1-EF4D-ADA3-A445C63BAE99}"/>
  <tableColumns count="9">
    <tableColumn id="1" xr3:uid="{4117B696-965C-A244-979F-93634C107602}" name="Flavour"/>
    <tableColumn id="2" xr3:uid="{ADE2CDCC-A9EB-C74B-BEF8-CB4559008CDB}" name="Base Price"/>
    <tableColumn id="3" xr3:uid="{57146973-A45F-4048-B868-C85EABAA4171}" name="Season"/>
    <tableColumn id="4" xr3:uid="{638EE6BE-ED79-A642-82BE-C1721E78F094}" name="Season Multi"/>
    <tableColumn id="5" xr3:uid="{5E1ED2FB-7FCA-5041-BC77-BDBD138CAE4A}" name="Competitor Avg"/>
    <tableColumn id="6" xr3:uid="{97E2956D-011B-D348-8CD5-287B3C85D733}" name="Floor"/>
    <tableColumn id="7" xr3:uid="{8CD89BF2-2203-F544-B655-71D225AD0C92}" name="Ceiling"/>
    <tableColumn id="8" xr3:uid="{C3333AE0-960E-E94A-9D17-3E5143D3CD21}" name="Dynamic Price" dataDxfId="21">
      <calculatedColumnFormula>Table7[[#This Row],[Competitor Avg]]*Table7[[#This Row],[Season Multi]]</calculatedColumnFormula>
    </tableColumn>
    <tableColumn id="9" xr3:uid="{7940C012-1DB1-3344-8937-BCCA619435F2}" name="Final Recommended Price" dataDxfId="20">
      <calculatedColumnFormula>MAX(Table7[[#This Row],[Floor]],MIN(Table7[[#This Row],[Dynamic Price]],Table7[[#This Row],[Ceiling]]))</calculatedColumnFormula>
    </tableColumn>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CCC81C-BB7A-384F-A448-94EE1AF8E084}" name="Table9" displayName="Table9" ref="A15:E19" totalsRowShown="0">
  <autoFilter ref="A15:E19" xr:uid="{F5CCC81C-BB7A-384F-A448-94EE1AF8E084}"/>
  <tableColumns count="5">
    <tableColumn id="1" xr3:uid="{05783883-E7DD-A746-B561-1DA6F5D902BE}" name="Season"/>
    <tableColumn id="2" xr3:uid="{0EF5E2D6-76BE-9E4A-AE43-117B25E78D5B}" name="2022 Units"/>
    <tableColumn id="3" xr3:uid="{1BC4B054-76D6-E644-9D5E-5F30544C1A9B}" name="2023 Units"/>
    <tableColumn id="4" xr3:uid="{8D06BE86-59AD-FB41-961A-5027F71D1784}" name="Growth %" dataDxfId="19">
      <calculatedColumnFormula>(C16-B16)/B16</calculatedColumnFormula>
    </tableColumn>
    <tableColumn id="5" xr3:uid="{AC0C8974-0227-1144-8FD4-D99E16E2DA86}" name="2024 Forecast"/>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B74B3FD-7730-A44F-97BA-5C350D5B8C4D}" name="Table10" displayName="Table10" ref="A22:E25" totalsRowShown="0">
  <autoFilter ref="A22:E25" xr:uid="{8B74B3FD-7730-A44F-97BA-5C350D5B8C4D}"/>
  <tableColumns count="5">
    <tableColumn id="1" xr3:uid="{3B1E5ABC-D0C5-B741-9313-D323BC0B7E3F}" name="Year"/>
    <tableColumn id="2" xr3:uid="{1F77BF5C-3CA3-844B-A32E-C971304211FA}" name="Summer"/>
    <tableColumn id="3" xr3:uid="{BB851E0D-8C48-A242-99BE-93ED28DFADED}" name="Monsoon"/>
    <tableColumn id="4" xr3:uid="{9BF87E8C-1D6F-8A46-A108-A2F58421E9D2}" name="Winter"/>
    <tableColumn id="5" xr3:uid="{4BDC8D86-26E2-4144-8123-61063B722518}" name="Total">
      <calculatedColumnFormula>SUM(B23:D23)</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0C3F63E-2908-3E4D-B87E-926A0C2FC9B7}" name="Table12" displayName="Table12" ref="A35:D41" totalsRowShown="0">
  <autoFilter ref="A35:D41" xr:uid="{90C3F63E-2908-3E4D-B87E-926A0C2FC9B7}"/>
  <tableColumns count="4">
    <tableColumn id="1" xr3:uid="{5E724187-205A-EC42-803F-51163864EA2B}" name="Flavour"/>
    <tableColumn id="2" xr3:uid="{A4EEE1CE-3487-9F4C-BEA4-CD1319F23C01}" name="2023 Actual"/>
    <tableColumn id="3" xr3:uid="{2C15185E-FC14-3642-A9B4-D4B56DF4230D}" name="2024 Forecast"/>
    <tableColumn id="4" xr3:uid="{80C89B36-501F-D24C-96C7-EBC2B329EF26}" name="Expected Growth"/>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A870F8-2E35-CF47-A5EE-607808EBCE3E}" name="Table14" displayName="Table14" ref="A2:H8" totalsRowShown="0">
  <autoFilter ref="A2:H8" xr:uid="{75A870F8-2E35-CF47-A5EE-607808EBCE3E}"/>
  <tableColumns count="8">
    <tableColumn id="1" xr3:uid="{D11B581D-CF73-6D44-8257-7D12E99C9277}" name="Flavour"/>
    <tableColumn id="2" xr3:uid="{B79750C7-29EB-1A4F-A87D-F2E636123803}" name="Units" dataDxfId="18"/>
    <tableColumn id="3" xr3:uid="{C678DCD3-92D4-3243-B240-73D4233B2EFB}" name="Avg Price" dataDxfId="17"/>
    <tableColumn id="4" xr3:uid="{39BF7870-6BA8-D343-BA1E-256CE1EBDC7F}" name="Revenue" dataDxfId="16"/>
    <tableColumn id="5" xr3:uid="{0079C410-F242-E24E-BD20-6CC0A6E61894}" name="Cost/Unit" dataDxfId="15"/>
    <tableColumn id="6" xr3:uid="{9D50CFCE-2148-044D-A163-BBB7FE09BC5B}" name="Total Cost" dataDxfId="14"/>
    <tableColumn id="7" xr3:uid="{6BAFF0FE-6332-2447-9DF7-BFD56494951F}" name="Gross Profit" dataDxfId="13"/>
    <tableColumn id="8" xr3:uid="{F8C2E0E6-CC92-4144-901F-9E1D603DBDF7}" name="Margin %" dataDxfId="12">
      <calculatedColumnFormula>G3/D3</calculatedColumnFormula>
    </tableColumn>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EBB36F9-B6CD-5E40-BAD3-8429C6A047E4}" name="Table15" displayName="Table15" ref="A12:H18" totalsRowShown="0">
  <autoFilter ref="A12:H18" xr:uid="{1EBB36F9-B6CD-5E40-BAD3-8429C6A047E4}"/>
  <tableColumns count="8">
    <tableColumn id="1" xr3:uid="{0484A19E-2317-5142-B502-D9F625843BE4}" name="Flavour"/>
    <tableColumn id="2" xr3:uid="{68234E53-A5A5-E540-86DD-CF014501A8B0}" name="Forecast Units" dataDxfId="11"/>
    <tableColumn id="3" xr3:uid="{1DF37931-00F1-7849-807E-99DDF000556F}" name="Weighted Avg Price" dataDxfId="10"/>
    <tableColumn id="4" xr3:uid="{05B1854F-60C2-EA42-8012-0CE40AC07CCB}" name="Revenue" dataDxfId="9"/>
    <tableColumn id="5" xr3:uid="{59372714-03C3-FA4D-95D7-5F10BFC557FA}" name="Cost/Unit" dataDxfId="8"/>
    <tableColumn id="6" xr3:uid="{0CA2EDEF-23CA-984E-A811-D5BBBD82AA24}" name="Total Cost" dataDxfId="7"/>
    <tableColumn id="7" xr3:uid="{CE3F2FC6-FC2C-6D4C-8EC7-3EA1EBAD5BD2}" name="Gross Profit" dataDxfId="6"/>
    <tableColumn id="8" xr3:uid="{266E6165-A74E-1B41-88E2-1AC0991564ED}" name="Margin %" dataDxfId="5">
      <calculatedColumnFormula>G13/D13</calculatedColumnFormula>
    </tableColumn>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1133897-CC12-0349-9466-971232FA3FA3}" name="Table16" displayName="Table16" ref="A22:E26" totalsRowShown="0">
  <autoFilter ref="A22:E26" xr:uid="{81133897-CC12-0349-9466-971232FA3FA3}"/>
  <tableColumns count="5">
    <tableColumn id="1" xr3:uid="{FB91D84B-E84B-F448-BA1E-38FA9B577042}" name="Metric"/>
    <tableColumn id="2" xr3:uid="{6FBDCB52-CEEB-F440-BBC4-7EB4332ADBB5}" name="2023 Actual" dataDxfId="4"/>
    <tableColumn id="3" xr3:uid="{34CEE660-1803-F744-B4CF-BFA5D484C0E6}" name="2024 Projected" dataDxfId="3"/>
    <tableColumn id="4" xr3:uid="{EE64A284-8FF1-5D4D-B37F-8E9EE0329F9D}" name="Uplift" dataDxfId="2">
      <calculatedColumnFormula>C23-B23</calculatedColumnFormula>
    </tableColumn>
    <tableColumn id="5" xr3:uid="{680FF551-3805-9E45-85C9-7218C61B937D}" name="Uplift %"/>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6.xml"/><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BA896-E5AD-DC41-82A4-40904FFEF96E}">
  <sheetPr codeName="Sheet1"/>
  <dimension ref="A1:K30"/>
  <sheetViews>
    <sheetView showGridLines="0" tabSelected="1" zoomScale="108" zoomScaleNormal="97" workbookViewId="0">
      <selection activeCell="P34" sqref="P34"/>
    </sheetView>
  </sheetViews>
  <sheetFormatPr baseColWidth="10" defaultRowHeight="16" x14ac:dyDescent="0.2"/>
  <cols>
    <col min="1" max="2" width="10.83203125" style="49"/>
    <col min="3" max="3" width="12.6640625" style="49" customWidth="1"/>
    <col min="4" max="10" width="10.83203125" style="49"/>
    <col min="11" max="11" width="11.83203125" style="49" customWidth="1"/>
    <col min="12" max="16384" width="10.83203125" style="49"/>
  </cols>
  <sheetData>
    <row r="1" spans="1:11" ht="35" customHeight="1" x14ac:dyDescent="0.2">
      <c r="A1" s="75" t="s">
        <v>151</v>
      </c>
      <c r="B1" s="76"/>
      <c r="C1" s="76"/>
      <c r="D1" s="76"/>
      <c r="E1" s="76"/>
      <c r="F1" s="76"/>
      <c r="G1" s="76"/>
      <c r="H1" s="76"/>
      <c r="I1" s="76"/>
      <c r="J1" s="76"/>
      <c r="K1" s="77"/>
    </row>
    <row r="2" spans="1:11" ht="12" customHeight="1" x14ac:dyDescent="0.2">
      <c r="A2" s="78"/>
      <c r="B2" s="79"/>
      <c r="C2" s="79"/>
      <c r="D2" s="79"/>
      <c r="E2" s="79"/>
      <c r="F2" s="79"/>
      <c r="G2" s="79"/>
      <c r="H2" s="79"/>
      <c r="I2" s="79"/>
      <c r="J2" s="79"/>
      <c r="K2" s="80"/>
    </row>
    <row r="3" spans="1:11" ht="22" customHeight="1" thickBot="1" x14ac:dyDescent="0.25">
      <c r="A3" s="81"/>
      <c r="B3" s="82"/>
      <c r="C3" s="82"/>
      <c r="D3" s="82"/>
      <c r="E3" s="82"/>
      <c r="F3" s="82"/>
      <c r="G3" s="82"/>
      <c r="H3" s="82"/>
      <c r="I3" s="82"/>
      <c r="J3" s="82"/>
      <c r="K3" s="83"/>
    </row>
    <row r="4" spans="1:11" ht="12" customHeight="1" x14ac:dyDescent="0.2">
      <c r="A4" s="105" t="s">
        <v>69</v>
      </c>
      <c r="B4" s="105"/>
      <c r="C4" s="54"/>
      <c r="D4" s="89" t="s">
        <v>85</v>
      </c>
      <c r="E4" s="90"/>
      <c r="F4" s="54"/>
      <c r="G4" s="93" t="s">
        <v>147</v>
      </c>
      <c r="H4" s="94"/>
      <c r="I4" s="54"/>
      <c r="J4" s="93" t="s">
        <v>149</v>
      </c>
      <c r="K4" s="94"/>
    </row>
    <row r="5" spans="1:11" ht="16" customHeight="1" x14ac:dyDescent="0.2">
      <c r="A5" s="106"/>
      <c r="B5" s="106"/>
      <c r="C5" s="55"/>
      <c r="D5" s="91"/>
      <c r="E5" s="92"/>
      <c r="F5" s="54"/>
      <c r="G5" s="95"/>
      <c r="H5" s="96"/>
      <c r="I5" s="54"/>
      <c r="J5" s="95"/>
      <c r="K5" s="96"/>
    </row>
    <row r="6" spans="1:11" ht="16" customHeight="1" x14ac:dyDescent="0.2">
      <c r="A6" s="84">
        <f>SUM(Cleaned_Data!K:K)</f>
        <v>384048</v>
      </c>
      <c r="B6" s="84"/>
      <c r="C6" s="55"/>
      <c r="D6" s="85">
        <f>SUM(Cleaned_Data!M:M)</f>
        <v>220662</v>
      </c>
      <c r="E6" s="86"/>
      <c r="F6" s="54"/>
      <c r="G6" s="97" t="s">
        <v>148</v>
      </c>
      <c r="H6" s="98"/>
      <c r="I6" s="54"/>
      <c r="J6" s="101" t="s">
        <v>150</v>
      </c>
      <c r="K6" s="102"/>
    </row>
    <row r="7" spans="1:11" ht="16" customHeight="1" x14ac:dyDescent="0.2">
      <c r="A7" s="84"/>
      <c r="B7" s="84"/>
      <c r="C7" s="55"/>
      <c r="D7" s="85"/>
      <c r="E7" s="86"/>
      <c r="F7" s="54"/>
      <c r="G7" s="97"/>
      <c r="H7" s="98"/>
      <c r="I7" s="54"/>
      <c r="J7" s="101"/>
      <c r="K7" s="102"/>
    </row>
    <row r="8" spans="1:11" ht="16" customHeight="1" thickBot="1" x14ac:dyDescent="0.25">
      <c r="A8" s="84"/>
      <c r="B8" s="84"/>
      <c r="C8" s="55"/>
      <c r="D8" s="87"/>
      <c r="E8" s="88"/>
      <c r="F8" s="54"/>
      <c r="G8" s="99"/>
      <c r="H8" s="100"/>
      <c r="I8" s="54"/>
      <c r="J8" s="103"/>
      <c r="K8" s="104"/>
    </row>
    <row r="9" spans="1:11" ht="16" customHeight="1" x14ac:dyDescent="0.2">
      <c r="A9" s="74" t="s">
        <v>152</v>
      </c>
      <c r="B9" s="74"/>
      <c r="C9" s="74"/>
      <c r="D9" s="74"/>
      <c r="E9" s="74"/>
      <c r="F9" s="74"/>
      <c r="G9" s="74"/>
      <c r="H9" s="74"/>
      <c r="I9" s="74"/>
      <c r="J9" s="74"/>
      <c r="K9" s="74"/>
    </row>
    <row r="10" spans="1:11" ht="16" customHeight="1" x14ac:dyDescent="0.2">
      <c r="C10" s="52"/>
      <c r="D10" s="52"/>
      <c r="J10" s="54"/>
      <c r="K10" s="54"/>
    </row>
    <row r="11" spans="1:11" x14ac:dyDescent="0.2">
      <c r="J11" s="54"/>
      <c r="K11" s="54"/>
    </row>
    <row r="12" spans="1:11" x14ac:dyDescent="0.2">
      <c r="J12" s="54"/>
      <c r="K12" s="54"/>
    </row>
    <row r="13" spans="1:11" x14ac:dyDescent="0.2">
      <c r="J13" s="54"/>
      <c r="K13" s="54"/>
    </row>
    <row r="14" spans="1:11" x14ac:dyDescent="0.2">
      <c r="J14" s="54"/>
      <c r="K14" s="54"/>
    </row>
    <row r="15" spans="1:11" x14ac:dyDescent="0.2">
      <c r="J15" s="54"/>
      <c r="K15" s="54"/>
    </row>
    <row r="16" spans="1:11" x14ac:dyDescent="0.2">
      <c r="J16" s="54"/>
      <c r="K16" s="54"/>
    </row>
    <row r="17" spans="10:11" x14ac:dyDescent="0.2">
      <c r="J17" s="54"/>
      <c r="K17" s="54"/>
    </row>
    <row r="18" spans="10:11" x14ac:dyDescent="0.2">
      <c r="J18" s="54"/>
      <c r="K18" s="54"/>
    </row>
    <row r="19" spans="10:11" x14ac:dyDescent="0.2">
      <c r="J19" s="54"/>
      <c r="K19" s="54"/>
    </row>
    <row r="20" spans="10:11" x14ac:dyDescent="0.2">
      <c r="J20" s="54"/>
      <c r="K20" s="54"/>
    </row>
    <row r="21" spans="10:11" x14ac:dyDescent="0.2">
      <c r="J21" s="54"/>
      <c r="K21" s="54"/>
    </row>
    <row r="22" spans="10:11" x14ac:dyDescent="0.2">
      <c r="J22" s="54"/>
      <c r="K22" s="54"/>
    </row>
    <row r="23" spans="10:11" x14ac:dyDescent="0.2">
      <c r="J23" s="54"/>
      <c r="K23" s="54"/>
    </row>
    <row r="24" spans="10:11" x14ac:dyDescent="0.2">
      <c r="J24" s="54"/>
      <c r="K24" s="54"/>
    </row>
    <row r="25" spans="10:11" x14ac:dyDescent="0.2">
      <c r="J25" s="54"/>
      <c r="K25" s="54"/>
    </row>
    <row r="26" spans="10:11" x14ac:dyDescent="0.2">
      <c r="J26" s="54"/>
      <c r="K26" s="54"/>
    </row>
    <row r="27" spans="10:11" x14ac:dyDescent="0.2">
      <c r="J27" s="54"/>
      <c r="K27" s="115" t="s">
        <v>177</v>
      </c>
    </row>
    <row r="28" spans="10:11" ht="17" customHeight="1" x14ac:dyDescent="0.2">
      <c r="J28" s="113"/>
      <c r="K28" s="54"/>
    </row>
    <row r="29" spans="10:11" ht="17" customHeight="1" x14ac:dyDescent="0.2">
      <c r="J29" s="113"/>
      <c r="K29" s="54"/>
    </row>
    <row r="30" spans="10:11" x14ac:dyDescent="0.2">
      <c r="J30" s="114" t="s">
        <v>178</v>
      </c>
      <c r="K30" s="112"/>
    </row>
  </sheetData>
  <mergeCells count="10">
    <mergeCell ref="A9:K9"/>
    <mergeCell ref="A1:K3"/>
    <mergeCell ref="A6:B8"/>
    <mergeCell ref="D6:E8"/>
    <mergeCell ref="D4:E5"/>
    <mergeCell ref="G4:H5"/>
    <mergeCell ref="G6:H8"/>
    <mergeCell ref="J6:K8"/>
    <mergeCell ref="J4:K5"/>
    <mergeCell ref="A4:B5"/>
  </mergeCells>
  <pageMargins left="0.7" right="0.7" top="0.75" bottom="0.75" header="0.3" footer="0.3"/>
  <pageSetup paperSize="9" orientation="landscape"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85413-8395-4D4A-B7C8-50DF291263DE}">
  <sheetPr codeName="Sheet2"/>
  <dimension ref="A1:K24"/>
  <sheetViews>
    <sheetView zoomScale="125" workbookViewId="0">
      <selection activeCell="H13" sqref="H13"/>
    </sheetView>
  </sheetViews>
  <sheetFormatPr baseColWidth="10" defaultRowHeight="16" x14ac:dyDescent="0.2"/>
  <cols>
    <col min="1" max="1" width="10" bestFit="1" customWidth="1"/>
    <col min="2" max="2" width="27.33203125" customWidth="1"/>
    <col min="3" max="3" width="20.5" customWidth="1"/>
    <col min="4" max="4" width="24" bestFit="1" customWidth="1"/>
    <col min="5" max="5" width="14.33203125" customWidth="1"/>
    <col min="6" max="6" width="12.6640625" customWidth="1"/>
    <col min="7" max="7" width="22.6640625" customWidth="1"/>
    <col min="9" max="9" width="17" customWidth="1"/>
  </cols>
  <sheetData>
    <row r="1" spans="1:11" x14ac:dyDescent="0.2">
      <c r="A1" s="53" t="s">
        <v>1</v>
      </c>
      <c r="B1" s="53" t="s">
        <v>116</v>
      </c>
      <c r="C1" s="53" t="s">
        <v>153</v>
      </c>
      <c r="D1" s="53" t="s">
        <v>164</v>
      </c>
      <c r="E1" s="56" t="s">
        <v>85</v>
      </c>
      <c r="F1" s="57"/>
      <c r="G1" s="107" t="s">
        <v>173</v>
      </c>
      <c r="H1" s="107"/>
      <c r="I1" s="63" t="s">
        <v>168</v>
      </c>
      <c r="J1" s="63" t="s">
        <v>167</v>
      </c>
    </row>
    <row r="2" spans="1:11" x14ac:dyDescent="0.2">
      <c r="A2" s="34" t="s">
        <v>10</v>
      </c>
      <c r="B2" s="34">
        <v>45</v>
      </c>
      <c r="C2" s="34">
        <v>16.45</v>
      </c>
      <c r="D2" s="34">
        <v>168</v>
      </c>
      <c r="E2" s="3">
        <f>(B2-C2)*D2</f>
        <v>4796.4000000000005</v>
      </c>
      <c r="G2" s="68" t="s">
        <v>15</v>
      </c>
      <c r="H2" s="63">
        <v>700</v>
      </c>
      <c r="I2" s="69">
        <f>H2/$H$7</f>
        <v>0.31574199368516015</v>
      </c>
      <c r="J2" s="70">
        <f>I2*$J$7</f>
        <v>375.10148849797025</v>
      </c>
    </row>
    <row r="3" spans="1:11" x14ac:dyDescent="0.2">
      <c r="A3" s="34" t="s">
        <v>15</v>
      </c>
      <c r="B3" s="34">
        <v>44</v>
      </c>
      <c r="C3" s="34">
        <v>18.440000000000001</v>
      </c>
      <c r="D3" s="34">
        <v>375</v>
      </c>
      <c r="E3" s="3">
        <f t="shared" ref="E3:E6" si="0">(B3-C3)*D3</f>
        <v>9585</v>
      </c>
      <c r="G3" s="68" t="s">
        <v>30</v>
      </c>
      <c r="H3" s="63">
        <v>186</v>
      </c>
      <c r="I3" s="69">
        <f>H3/$H$7</f>
        <v>8.3897158322056839E-2</v>
      </c>
      <c r="J3" s="70">
        <f>I3*$J$7</f>
        <v>99.669824086603526</v>
      </c>
    </row>
    <row r="4" spans="1:11" x14ac:dyDescent="0.2">
      <c r="A4" s="34" t="s">
        <v>17</v>
      </c>
      <c r="B4" s="34">
        <v>35</v>
      </c>
      <c r="C4" s="34">
        <v>13.44</v>
      </c>
      <c r="D4" s="34">
        <v>167</v>
      </c>
      <c r="E4" s="3">
        <f t="shared" si="0"/>
        <v>3600.5200000000004</v>
      </c>
      <c r="G4" s="68" t="s">
        <v>10</v>
      </c>
      <c r="H4" s="63">
        <v>707</v>
      </c>
      <c r="I4" s="69">
        <f>H4/$H$7</f>
        <v>0.31889941362201174</v>
      </c>
      <c r="J4" s="70">
        <f>I4*$J$7</f>
        <v>378.85250338294992</v>
      </c>
      <c r="K4" s="57"/>
    </row>
    <row r="5" spans="1:11" x14ac:dyDescent="0.2">
      <c r="A5" s="34" t="s">
        <v>18</v>
      </c>
      <c r="B5" s="34">
        <v>39</v>
      </c>
      <c r="C5" s="34">
        <v>15.41</v>
      </c>
      <c r="D5" s="34">
        <v>168</v>
      </c>
      <c r="E5" s="3">
        <f t="shared" si="0"/>
        <v>3963.12</v>
      </c>
      <c r="G5" s="68" t="s">
        <v>18</v>
      </c>
      <c r="H5" s="63">
        <v>313</v>
      </c>
      <c r="I5" s="69">
        <f>H5/$H$7</f>
        <v>0.14118177717636446</v>
      </c>
      <c r="J5" s="70">
        <f>I5*$J$7</f>
        <v>167.72395128552097</v>
      </c>
      <c r="K5" s="11"/>
    </row>
    <row r="6" spans="1:11" x14ac:dyDescent="0.2">
      <c r="A6" s="34" t="s">
        <v>30</v>
      </c>
      <c r="B6" s="34">
        <v>60</v>
      </c>
      <c r="C6" s="34">
        <v>22.47</v>
      </c>
      <c r="D6" s="34">
        <v>100</v>
      </c>
      <c r="E6" s="3">
        <f t="shared" si="0"/>
        <v>3753</v>
      </c>
      <c r="G6" s="68" t="s">
        <v>17</v>
      </c>
      <c r="H6" s="63">
        <v>311</v>
      </c>
      <c r="I6" s="69">
        <f>H6/$H$7</f>
        <v>0.14027965719440685</v>
      </c>
      <c r="J6" s="70">
        <f>I6*$J$7</f>
        <v>166.65223274695535</v>
      </c>
      <c r="K6" s="11"/>
    </row>
    <row r="7" spans="1:11" x14ac:dyDescent="0.2">
      <c r="A7" s="58" t="s">
        <v>130</v>
      </c>
      <c r="E7" s="59">
        <f>SUM(E2:E6)</f>
        <v>25698.04</v>
      </c>
      <c r="F7" s="3"/>
      <c r="G7" s="66" t="s">
        <v>166</v>
      </c>
      <c r="H7" s="63">
        <v>2217</v>
      </c>
      <c r="I7" s="63"/>
      <c r="J7" s="63">
        <v>1188</v>
      </c>
      <c r="K7" s="11"/>
    </row>
    <row r="8" spans="1:11" x14ac:dyDescent="0.2">
      <c r="B8" t="s">
        <v>161</v>
      </c>
      <c r="K8" s="11"/>
    </row>
    <row r="9" spans="1:11" x14ac:dyDescent="0.2">
      <c r="B9" s="1" t="s">
        <v>154</v>
      </c>
      <c r="G9" s="8" t="s">
        <v>165</v>
      </c>
      <c r="K9" s="11"/>
    </row>
    <row r="10" spans="1:11" x14ac:dyDescent="0.2">
      <c r="B10" s="1" t="s">
        <v>155</v>
      </c>
      <c r="G10" s="8" t="s">
        <v>174</v>
      </c>
    </row>
    <row r="11" spans="1:11" x14ac:dyDescent="0.2">
      <c r="B11" s="1" t="s">
        <v>156</v>
      </c>
      <c r="G11" s="8" t="s">
        <v>169</v>
      </c>
    </row>
    <row r="13" spans="1:11" ht="19" x14ac:dyDescent="0.25">
      <c r="B13" s="61" t="s">
        <v>160</v>
      </c>
      <c r="C13" s="62" t="s">
        <v>157</v>
      </c>
      <c r="D13" s="62" t="s">
        <v>158</v>
      </c>
      <c r="E13" s="62" t="s">
        <v>159</v>
      </c>
    </row>
    <row r="14" spans="1:11" x14ac:dyDescent="0.2">
      <c r="B14" s="66" t="s">
        <v>1</v>
      </c>
      <c r="C14" s="67" t="s">
        <v>172</v>
      </c>
      <c r="D14" s="64"/>
      <c r="E14" s="64"/>
    </row>
    <row r="15" spans="1:11" x14ac:dyDescent="0.2">
      <c r="B15" s="63" t="s">
        <v>10</v>
      </c>
      <c r="C15" s="63">
        <v>45</v>
      </c>
      <c r="D15" s="63">
        <v>50</v>
      </c>
      <c r="E15" s="63">
        <v>43</v>
      </c>
    </row>
    <row r="16" spans="1:11" x14ac:dyDescent="0.2">
      <c r="B16" s="63" t="s">
        <v>15</v>
      </c>
      <c r="C16" s="63">
        <v>44</v>
      </c>
      <c r="D16" s="63">
        <v>46</v>
      </c>
      <c r="E16" s="63">
        <v>41</v>
      </c>
    </row>
    <row r="17" spans="2:5" x14ac:dyDescent="0.2">
      <c r="B17" s="63" t="s">
        <v>17</v>
      </c>
      <c r="C17" s="63">
        <v>35</v>
      </c>
      <c r="D17" s="63">
        <v>38</v>
      </c>
      <c r="E17" s="63">
        <v>32</v>
      </c>
    </row>
    <row r="18" spans="2:5" x14ac:dyDescent="0.2">
      <c r="B18" s="63" t="s">
        <v>18</v>
      </c>
      <c r="C18" s="63">
        <v>39</v>
      </c>
      <c r="D18" s="63">
        <v>42</v>
      </c>
      <c r="E18" s="63">
        <v>36</v>
      </c>
    </row>
    <row r="19" spans="2:5" x14ac:dyDescent="0.2">
      <c r="B19" s="63" t="s">
        <v>30</v>
      </c>
      <c r="C19" s="63">
        <v>60</v>
      </c>
      <c r="D19" s="63">
        <v>63</v>
      </c>
      <c r="E19" s="63">
        <v>59</v>
      </c>
    </row>
    <row r="20" spans="2:5" x14ac:dyDescent="0.2">
      <c r="B20" s="65" t="s">
        <v>171</v>
      </c>
      <c r="C20" s="63">
        <v>25698.04</v>
      </c>
      <c r="D20" s="63">
        <v>28593.040000000001</v>
      </c>
      <c r="E20" s="63">
        <v>23132.04</v>
      </c>
    </row>
    <row r="22" spans="2:5" x14ac:dyDescent="0.2">
      <c r="B22" s="60" t="s">
        <v>162</v>
      </c>
    </row>
    <row r="23" spans="2:5" x14ac:dyDescent="0.2">
      <c r="B23" t="s">
        <v>163</v>
      </c>
    </row>
    <row r="24" spans="2:5" x14ac:dyDescent="0.2">
      <c r="B24" t="s">
        <v>170</v>
      </c>
    </row>
  </sheetData>
  <scenarios current="0" show="0" sqref="E7">
    <scenario name="Baseline" locked="1" count="5" user="Adyant Bhriguvanshi" comment="Created by Adyant Bhriguvanshi on 19/03/2026">
      <inputCells r="B2" val="45"/>
      <inputCells r="B3" val="44"/>
      <inputCells r="B4" val="35"/>
      <inputCells r="B5" val="39"/>
      <inputCells r="B6" val="60"/>
    </scenario>
    <scenario name="Premium" locked="1" count="5" user="Adyant Bhriguvanshi" comment="Created by Adyant Bhriguvanshi on 19/03/2026">
      <inputCells r="B2" val="50"/>
      <inputCells r="B3" val="46"/>
      <inputCells r="B4" val="38"/>
      <inputCells r="B5" val="42"/>
      <inputCells r="B6" val="63"/>
    </scenario>
    <scenario name="Volume Boost" locked="1" count="5" user="Adyant Bhriguvanshi" comment="Created by Adyant Bhriguvanshi on 19/03/2026">
      <inputCells r="B2" val="43"/>
      <inputCells r="B3" val="41"/>
      <inputCells r="B4" val="32"/>
      <inputCells r="B5" val="36"/>
      <inputCells r="B6" val="59"/>
    </scenario>
  </scenarios>
  <mergeCells count="1">
    <mergeCell ref="G1:H1"/>
  </mergeCells>
  <phoneticPr fontId="22" type="noConversion"/>
  <conditionalFormatting sqref="G2:G6 G9:G11">
    <cfRule type="colorScale" priority="1">
      <colorScale>
        <cfvo type="min"/>
        <cfvo type="percentile" val="50"/>
        <cfvo type="max"/>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B25E2-CCF0-1A41-8D5D-0DC341EA0109}">
  <sheetPr codeName="Sheet3"/>
  <dimension ref="A2:Q49"/>
  <sheetViews>
    <sheetView zoomScale="68" workbookViewId="0">
      <selection activeCell="P2" sqref="P2"/>
    </sheetView>
  </sheetViews>
  <sheetFormatPr baseColWidth="10" defaultColWidth="16" defaultRowHeight="16" x14ac:dyDescent="0.2"/>
  <cols>
    <col min="1" max="1" width="27.83203125" bestFit="1" customWidth="1"/>
    <col min="2" max="2" width="14.1640625" bestFit="1" customWidth="1"/>
    <col min="3" max="3" width="17.83203125" bestFit="1" customWidth="1"/>
    <col min="4" max="4" width="9" bestFit="1" customWidth="1"/>
    <col min="5" max="5" width="10.1640625" bestFit="1" customWidth="1"/>
    <col min="6" max="6" width="6.83203125" bestFit="1" customWidth="1"/>
    <col min="7" max="7" width="10.6640625" bestFit="1" customWidth="1"/>
    <col min="8" max="15" width="5.1640625" bestFit="1" customWidth="1"/>
    <col min="16" max="16" width="13.83203125" bestFit="1" customWidth="1"/>
    <col min="17" max="17" width="15.83203125" bestFit="1" customWidth="1"/>
    <col min="18" max="24" width="5.1640625" bestFit="1" customWidth="1"/>
    <col min="25" max="27" width="6.1640625" bestFit="1" customWidth="1"/>
    <col min="28" max="30" width="5.1640625" bestFit="1" customWidth="1"/>
    <col min="31" max="31" width="10.5" bestFit="1" customWidth="1"/>
  </cols>
  <sheetData>
    <row r="2" spans="1:17" x14ac:dyDescent="0.2">
      <c r="P2" s="7" t="s">
        <v>121</v>
      </c>
      <c r="Q2" t="s">
        <v>63</v>
      </c>
    </row>
    <row r="3" spans="1:17" x14ac:dyDescent="0.2">
      <c r="A3" s="7" t="s">
        <v>72</v>
      </c>
      <c r="B3" t="s">
        <v>67</v>
      </c>
      <c r="C3" t="s">
        <v>176</v>
      </c>
      <c r="P3" s="8" t="s">
        <v>15</v>
      </c>
      <c r="Q3">
        <v>2678</v>
      </c>
    </row>
    <row r="4" spans="1:17" x14ac:dyDescent="0.2">
      <c r="A4" s="8" t="s">
        <v>15</v>
      </c>
      <c r="B4">
        <v>31648</v>
      </c>
      <c r="C4">
        <v>26294</v>
      </c>
      <c r="P4" s="8" t="s">
        <v>30</v>
      </c>
      <c r="Q4">
        <v>955</v>
      </c>
    </row>
    <row r="5" spans="1:17" x14ac:dyDescent="0.2">
      <c r="A5" s="8" t="s">
        <v>30</v>
      </c>
      <c r="B5">
        <v>14578</v>
      </c>
      <c r="C5">
        <v>14158</v>
      </c>
      <c r="P5" s="8" t="s">
        <v>10</v>
      </c>
      <c r="Q5">
        <v>3382</v>
      </c>
    </row>
    <row r="6" spans="1:17" x14ac:dyDescent="0.2">
      <c r="A6" s="32" t="s">
        <v>10</v>
      </c>
      <c r="B6">
        <v>14577</v>
      </c>
      <c r="C6">
        <v>20226</v>
      </c>
      <c r="P6" s="8" t="s">
        <v>18</v>
      </c>
      <c r="Q6">
        <v>1342</v>
      </c>
    </row>
    <row r="7" spans="1:17" x14ac:dyDescent="0.2">
      <c r="A7" s="8" t="s">
        <v>18</v>
      </c>
      <c r="B7">
        <v>11942</v>
      </c>
      <c r="C7">
        <v>16181</v>
      </c>
      <c r="P7" s="8" t="s">
        <v>17</v>
      </c>
      <c r="Q7">
        <v>1186</v>
      </c>
    </row>
    <row r="8" spans="1:17" x14ac:dyDescent="0.2">
      <c r="A8" s="8" t="s">
        <v>17</v>
      </c>
      <c r="B8">
        <v>5304</v>
      </c>
      <c r="C8">
        <v>16181</v>
      </c>
      <c r="P8" s="8" t="s">
        <v>62</v>
      </c>
      <c r="Q8">
        <v>9543</v>
      </c>
    </row>
    <row r="9" spans="1:17" x14ac:dyDescent="0.2">
      <c r="A9" s="8" t="s">
        <v>62</v>
      </c>
      <c r="B9">
        <v>78049</v>
      </c>
      <c r="C9">
        <v>93040</v>
      </c>
    </row>
    <row r="14" spans="1:17" x14ac:dyDescent="0.2">
      <c r="A14" s="7" t="s">
        <v>71</v>
      </c>
      <c r="B14" t="s">
        <v>68</v>
      </c>
      <c r="C14" t="s">
        <v>69</v>
      </c>
      <c r="D14" t="s">
        <v>76</v>
      </c>
    </row>
    <row r="15" spans="1:17" x14ac:dyDescent="0.2">
      <c r="A15" s="32" t="s">
        <v>27</v>
      </c>
      <c r="B15">
        <v>3999</v>
      </c>
      <c r="C15">
        <v>159098</v>
      </c>
      <c r="D15" s="10">
        <v>0.58593406593406594</v>
      </c>
    </row>
    <row r="16" spans="1:17" x14ac:dyDescent="0.2">
      <c r="A16" s="8" t="s">
        <v>28</v>
      </c>
      <c r="B16">
        <v>2826</v>
      </c>
      <c r="C16">
        <v>110338</v>
      </c>
      <c r="D16" s="10">
        <v>0.41406593406593406</v>
      </c>
    </row>
    <row r="17" spans="1:4" x14ac:dyDescent="0.2">
      <c r="A17" s="8" t="s">
        <v>62</v>
      </c>
      <c r="B17">
        <v>6825</v>
      </c>
      <c r="C17">
        <v>269436</v>
      </c>
      <c r="D17" s="10">
        <v>1</v>
      </c>
    </row>
    <row r="23" spans="1:4" x14ac:dyDescent="0.2">
      <c r="A23" s="7" t="s">
        <v>70</v>
      </c>
      <c r="B23" t="s">
        <v>68</v>
      </c>
      <c r="C23" t="s">
        <v>69</v>
      </c>
      <c r="D23" t="s">
        <v>76</v>
      </c>
    </row>
    <row r="24" spans="1:4" x14ac:dyDescent="0.2">
      <c r="A24" s="32" t="s">
        <v>11</v>
      </c>
      <c r="B24">
        <v>5302</v>
      </c>
      <c r="C24">
        <v>219951</v>
      </c>
      <c r="D24" s="10">
        <v>0.55559048517237763</v>
      </c>
    </row>
    <row r="25" spans="1:4" x14ac:dyDescent="0.2">
      <c r="A25" s="8" t="s">
        <v>20</v>
      </c>
      <c r="B25">
        <v>2217</v>
      </c>
      <c r="C25">
        <v>86048</v>
      </c>
      <c r="D25" s="10">
        <v>0.23231688148381013</v>
      </c>
    </row>
    <row r="26" spans="1:4" x14ac:dyDescent="0.2">
      <c r="A26" s="8" t="s">
        <v>23</v>
      </c>
      <c r="B26">
        <v>2024</v>
      </c>
      <c r="C26">
        <v>78049</v>
      </c>
      <c r="D26" s="10">
        <v>0.21209263334381223</v>
      </c>
    </row>
    <row r="27" spans="1:4" x14ac:dyDescent="0.2">
      <c r="A27" s="8" t="s">
        <v>62</v>
      </c>
      <c r="B27">
        <v>9543</v>
      </c>
      <c r="C27">
        <v>384048</v>
      </c>
      <c r="D27" s="10">
        <v>1</v>
      </c>
    </row>
    <row r="32" spans="1:4" x14ac:dyDescent="0.2">
      <c r="A32" s="7" t="s">
        <v>73</v>
      </c>
      <c r="B32" t="s">
        <v>68</v>
      </c>
      <c r="C32" t="s">
        <v>69</v>
      </c>
      <c r="D32" t="s">
        <v>76</v>
      </c>
    </row>
    <row r="33" spans="1:4" x14ac:dyDescent="0.2">
      <c r="A33" s="32" t="s">
        <v>12</v>
      </c>
      <c r="B33">
        <v>4368</v>
      </c>
      <c r="C33">
        <v>162244</v>
      </c>
      <c r="D33" s="10">
        <v>0.45771769883684377</v>
      </c>
    </row>
    <row r="34" spans="1:4" x14ac:dyDescent="0.2">
      <c r="A34" s="8" t="s">
        <v>16</v>
      </c>
      <c r="B34">
        <v>5175</v>
      </c>
      <c r="C34">
        <v>221804</v>
      </c>
      <c r="D34" s="10">
        <v>0.54228230116315623</v>
      </c>
    </row>
    <row r="35" spans="1:4" x14ac:dyDescent="0.2">
      <c r="A35" s="8" t="s">
        <v>62</v>
      </c>
      <c r="B35">
        <v>9543</v>
      </c>
      <c r="C35">
        <v>384048</v>
      </c>
      <c r="D35" s="10">
        <v>1</v>
      </c>
    </row>
    <row r="41" spans="1:4" ht="17" thickBot="1" x14ac:dyDescent="0.25"/>
    <row r="42" spans="1:4" ht="17" thickBot="1" x14ac:dyDescent="0.25">
      <c r="A42" s="9" t="s">
        <v>74</v>
      </c>
    </row>
    <row r="43" spans="1:4" x14ac:dyDescent="0.2">
      <c r="A43" s="7" t="s">
        <v>63</v>
      </c>
      <c r="B43" s="7" t="s">
        <v>68</v>
      </c>
    </row>
    <row r="44" spans="1:4" x14ac:dyDescent="0.2">
      <c r="A44" s="7" t="s">
        <v>75</v>
      </c>
      <c r="B44" t="s">
        <v>20</v>
      </c>
    </row>
    <row r="45" spans="1:4" x14ac:dyDescent="0.2">
      <c r="A45" s="8" t="s">
        <v>15</v>
      </c>
      <c r="B45">
        <v>700</v>
      </c>
    </row>
    <row r="46" spans="1:4" x14ac:dyDescent="0.2">
      <c r="A46" s="8" t="s">
        <v>30</v>
      </c>
      <c r="B46">
        <v>186</v>
      </c>
    </row>
    <row r="47" spans="1:4" x14ac:dyDescent="0.2">
      <c r="A47" s="8" t="s">
        <v>10</v>
      </c>
      <c r="B47">
        <v>707</v>
      </c>
    </row>
    <row r="48" spans="1:4" x14ac:dyDescent="0.2">
      <c r="A48" s="8" t="s">
        <v>18</v>
      </c>
      <c r="B48">
        <v>313</v>
      </c>
    </row>
    <row r="49" spans="1:2" x14ac:dyDescent="0.2">
      <c r="A49" s="8" t="s">
        <v>17</v>
      </c>
      <c r="B49">
        <v>311</v>
      </c>
    </row>
  </sheetData>
  <conditionalFormatting sqref="A44:D44 A45:A49">
    <cfRule type="colorScale" priority="1">
      <colorScale>
        <cfvo type="min"/>
        <cfvo type="percentile" val="50"/>
        <cfvo type="max"/>
        <color rgb="FFF8696B"/>
        <color rgb="FFFFEB84"/>
        <color rgb="FF63BE7B"/>
      </colorScale>
    </cfRule>
  </conditionalFormatting>
  <conditionalFormatting sqref="A42:E44 A45:A50">
    <cfRule type="colorScale" priority="2">
      <colorScale>
        <cfvo type="min"/>
        <cfvo type="percentile" val="50"/>
        <cfvo type="max"/>
        <color rgb="FFF8696B"/>
        <color rgb="FFFFEB84"/>
        <color rgb="FF63BE7B"/>
      </colorScale>
    </cfRule>
  </conditionalFormatting>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B879-4AF6-1647-88DF-78D23E6AA671}">
  <sheetPr codeName="Sheet4"/>
  <dimension ref="B3:F17"/>
  <sheetViews>
    <sheetView topLeftCell="A2" zoomScale="112" workbookViewId="0">
      <selection activeCell="D6" sqref="D6"/>
    </sheetView>
  </sheetViews>
  <sheetFormatPr baseColWidth="10" defaultRowHeight="16" x14ac:dyDescent="0.2"/>
  <cols>
    <col min="1" max="1" width="10.83203125" customWidth="1"/>
    <col min="2" max="2" width="21.1640625" customWidth="1"/>
    <col min="3" max="3" width="17.83203125" customWidth="1"/>
    <col min="4" max="4" width="14.33203125" customWidth="1"/>
    <col min="5" max="5" width="14" customWidth="1"/>
    <col min="6" max="6" width="10.83203125" customWidth="1"/>
  </cols>
  <sheetData>
    <row r="3" spans="2:6" ht="17" thickBot="1" x14ac:dyDescent="0.25"/>
    <row r="4" spans="2:6" ht="17" thickBot="1" x14ac:dyDescent="0.25">
      <c r="B4" s="9" t="s">
        <v>77</v>
      </c>
    </row>
    <row r="5" spans="2:6" x14ac:dyDescent="0.2">
      <c r="B5" t="s">
        <v>1</v>
      </c>
      <c r="C5" t="s">
        <v>78</v>
      </c>
      <c r="D5" t="s">
        <v>79</v>
      </c>
      <c r="E5" t="s">
        <v>80</v>
      </c>
      <c r="F5" t="s">
        <v>81</v>
      </c>
    </row>
    <row r="6" spans="2:6" x14ac:dyDescent="0.2">
      <c r="B6" s="3" t="s">
        <v>30</v>
      </c>
      <c r="C6" s="11">
        <f>AVERAGEIF(Cleaned_Data!B:B,TRIM(B6),Cleaned_Data!G:G)</f>
        <v>57.89473684210526</v>
      </c>
      <c r="D6" s="11">
        <f>AVERAGEIF(Cleaned_Data!B:B,TRIM(B6),Cleaned_Data!H:H)</f>
        <v>22.473684210526315</v>
      </c>
      <c r="E6" s="11">
        <f>C6-D6</f>
        <v>35.421052631578945</v>
      </c>
      <c r="F6" s="10">
        <f>E6/C6</f>
        <v>0.61181818181818182</v>
      </c>
    </row>
    <row r="7" spans="2:6" x14ac:dyDescent="0.2">
      <c r="B7" s="3" t="s">
        <v>15</v>
      </c>
      <c r="C7" s="11">
        <f>AVERAGEIF(Cleaned_Data!B:B,TRIM(B7),Cleaned_Data!G:G)</f>
        <v>41.555555555555557</v>
      </c>
      <c r="D7" s="11">
        <f>AVERAGEIF(Cleaned_Data!B:B,TRIM(B7),Cleaned_Data!H:H)</f>
        <v>18.444444444444443</v>
      </c>
      <c r="E7" s="11">
        <f>C7-D7</f>
        <v>23.111111111111114</v>
      </c>
      <c r="F7" s="10">
        <f>E7/C7</f>
        <v>0.55614973262032086</v>
      </c>
    </row>
    <row r="8" spans="2:6" x14ac:dyDescent="0.2">
      <c r="B8" t="s">
        <v>82</v>
      </c>
      <c r="C8" s="11">
        <f>AVERAGEIF(Cleaned_Data!B:B,TRIM(B8),Cleaned_Data!G:G)</f>
        <v>37.428571428571431</v>
      </c>
      <c r="D8" s="11">
        <f>AVERAGEIF(Cleaned_Data!B:B,TRIM(B8),Cleaned_Data!H:H)</f>
        <v>16.452380952380953</v>
      </c>
      <c r="E8" s="11">
        <f>C8-D8</f>
        <v>20.976190476190478</v>
      </c>
      <c r="F8" s="10">
        <f>E8/C8</f>
        <v>0.56043256997455471</v>
      </c>
    </row>
    <row r="9" spans="2:6" x14ac:dyDescent="0.2">
      <c r="B9" t="s">
        <v>18</v>
      </c>
      <c r="C9" s="11">
        <f>AVERAGEIF(Cleaned_Data!B:B,TRIM(B9),Cleaned_Data!G:G)</f>
        <v>34.727272727272727</v>
      </c>
      <c r="D9" s="11">
        <f>AVERAGEIF(Cleaned_Data!B:B,TRIM(B9),Cleaned_Data!H:H)</f>
        <v>15.409090909090908</v>
      </c>
      <c r="E9" s="11">
        <f>C9-D9</f>
        <v>19.31818181818182</v>
      </c>
      <c r="F9" s="10">
        <f>E9/C9</f>
        <v>0.55628272251308908</v>
      </c>
    </row>
    <row r="10" spans="2:6" x14ac:dyDescent="0.2">
      <c r="B10" t="s">
        <v>17</v>
      </c>
      <c r="C10" s="11">
        <f>AVERAGEIF(Cleaned_Data!B:B,TRIM(B10),Cleaned_Data!G:G)</f>
        <v>28.444444444444443</v>
      </c>
      <c r="D10" s="11">
        <f>AVERAGEIF(Cleaned_Data!B:B,TRIM(B10),Cleaned_Data!H:H)</f>
        <v>13.444444444444445</v>
      </c>
      <c r="E10" s="11">
        <f>C10-D10</f>
        <v>14.999999999999998</v>
      </c>
      <c r="F10" s="10">
        <f>E10/C10</f>
        <v>0.52734375</v>
      </c>
    </row>
    <row r="11" spans="2:6" x14ac:dyDescent="0.2">
      <c r="B11" t="s">
        <v>83</v>
      </c>
      <c r="C11" s="11">
        <f>AVERAGE(Table2[Avg Selling Price])</f>
        <v>40.010116199589881</v>
      </c>
      <c r="D11" s="11">
        <f>AVERAGE(Table2[Avg Cost/Unit])</f>
        <v>17.244808992177411</v>
      </c>
      <c r="E11" s="11">
        <f>AVERAGE(Table2[Gross Margin])</f>
        <v>22.765307207412473</v>
      </c>
      <c r="F11" s="10">
        <f>AVERAGE(Table2[Margin %])</f>
        <v>0.56240539138522938</v>
      </c>
    </row>
    <row r="12" spans="2:6" ht="17" thickBot="1" x14ac:dyDescent="0.25"/>
    <row r="13" spans="2:6" ht="17" thickBot="1" x14ac:dyDescent="0.25">
      <c r="B13" s="9" t="s">
        <v>84</v>
      </c>
    </row>
    <row r="14" spans="2:6" x14ac:dyDescent="0.2">
      <c r="B14" t="s">
        <v>86</v>
      </c>
      <c r="C14" t="s">
        <v>87</v>
      </c>
    </row>
    <row r="15" spans="2:6" x14ac:dyDescent="0.2">
      <c r="B15" t="s">
        <v>69</v>
      </c>
      <c r="C15">
        <f>SUM(Cleaned_Data!K:K)</f>
        <v>384048</v>
      </c>
    </row>
    <row r="16" spans="2:6" x14ac:dyDescent="0.2">
      <c r="B16" t="s">
        <v>65</v>
      </c>
      <c r="C16">
        <f>SUM(Cleaned_Data!L:L)</f>
        <v>163386</v>
      </c>
    </row>
    <row r="17" spans="2:3" x14ac:dyDescent="0.2">
      <c r="B17" t="s">
        <v>85</v>
      </c>
      <c r="C17">
        <f>SUM(Cleaned_Data!M:M)</f>
        <v>220662</v>
      </c>
    </row>
  </sheetData>
  <conditionalFormatting sqref="E6:E11">
    <cfRule type="dataBar" priority="1">
      <dataBar>
        <cfvo type="min"/>
        <cfvo type="max"/>
        <color rgb="FF638EC6"/>
      </dataBar>
      <extLst>
        <ext xmlns:x14="http://schemas.microsoft.com/office/spreadsheetml/2009/9/main" uri="{B025F937-C7B1-47D3-B67F-A62EFF666E3E}">
          <x14:id>{A43268FB-CC1E-BD4E-87B8-A6AD5D465251}</x14:id>
        </ext>
      </extLst>
    </cfRule>
  </conditionalFormatting>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A43268FB-CC1E-BD4E-87B8-A6AD5D465251}">
            <x14:dataBar minLength="0" maxLength="100" border="1" negativeBarBorderColorSameAsPositive="0">
              <x14:cfvo type="autoMin"/>
              <x14:cfvo type="autoMax"/>
              <x14:borderColor rgb="FF638EC6"/>
              <x14:negativeFillColor rgb="FFFF0000"/>
              <x14:negativeBorderColor rgb="FFFF0000"/>
              <x14:axisColor rgb="FF000000"/>
            </x14:dataBar>
          </x14:cfRule>
          <xm:sqref>E6:E11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90F12-A31F-C043-842E-1A415A1E0588}">
  <sheetPr codeName="Sheet5"/>
  <dimension ref="A3:I95"/>
  <sheetViews>
    <sheetView topLeftCell="A54" zoomScale="111" workbookViewId="0">
      <selection activeCell="E71" sqref="E71"/>
    </sheetView>
  </sheetViews>
  <sheetFormatPr baseColWidth="10" defaultRowHeight="16" x14ac:dyDescent="0.2"/>
  <cols>
    <col min="1" max="1" width="14" customWidth="1"/>
    <col min="2" max="2" width="16.83203125" customWidth="1"/>
    <col min="3" max="3" width="16.5" customWidth="1"/>
    <col min="4" max="4" width="21" customWidth="1"/>
    <col min="5" max="5" width="24.33203125" bestFit="1" customWidth="1"/>
    <col min="6" max="6" width="14.5" customWidth="1"/>
    <col min="8" max="8" width="14.6640625" customWidth="1"/>
    <col min="9" max="9" width="23.83203125" customWidth="1"/>
  </cols>
  <sheetData>
    <row r="3" spans="2:6" ht="17" thickBot="1" x14ac:dyDescent="0.25"/>
    <row r="4" spans="2:6" ht="17" thickBot="1" x14ac:dyDescent="0.25">
      <c r="B4" s="31" t="s">
        <v>108</v>
      </c>
    </row>
    <row r="5" spans="2:6" x14ac:dyDescent="0.2">
      <c r="B5" s="1" t="s">
        <v>1</v>
      </c>
      <c r="C5" s="1" t="s">
        <v>88</v>
      </c>
      <c r="D5" s="29" t="s">
        <v>89</v>
      </c>
      <c r="E5" s="1" t="s">
        <v>101</v>
      </c>
      <c r="F5" s="1" t="s">
        <v>102</v>
      </c>
    </row>
    <row r="6" spans="2:6" x14ac:dyDescent="0.2">
      <c r="B6" t="s">
        <v>17</v>
      </c>
      <c r="C6" s="11">
        <f>AVERAGEIF(Cleaned_Data!B:B,TRIM(B6),Cleaned_Data!G:G)</f>
        <v>28.444444444444443</v>
      </c>
      <c r="D6" s="11">
        <f>AVERAGEIFS(Competitor_Benchmark_Data!F:F, Competitor_Benchmark_Data!C:C,TRIM(B6), Competitor_Benchmark_Data!A:A,"&lt;&gt;The Client")</f>
        <v>116.14285714285714</v>
      </c>
      <c r="E6" s="11">
        <f>D6-C6</f>
        <v>87.698412698412696</v>
      </c>
      <c r="F6" t="str">
        <f>IF(C6&gt;D6, "Above Market", "Below Market")</f>
        <v>Below Market</v>
      </c>
    </row>
    <row r="7" spans="2:6" x14ac:dyDescent="0.2">
      <c r="B7" t="s">
        <v>15</v>
      </c>
      <c r="C7" s="11">
        <f>AVERAGEIF(Cleaned_Data!B:B,TRIM(B7),Cleaned_Data!G:G)</f>
        <v>41.555555555555557</v>
      </c>
      <c r="D7" s="11">
        <f>AVERAGEIFS(Competitor_Benchmark_Data!F:F, Competitor_Benchmark_Data!C:C,TRIM(B7), Competitor_Benchmark_Data!A:A,"&lt;&gt;The Client")</f>
        <v>115</v>
      </c>
      <c r="E7" s="11">
        <f t="shared" ref="E7:E10" si="0">D7-C7</f>
        <v>73.444444444444443</v>
      </c>
      <c r="F7" t="str">
        <f t="shared" ref="F7:F10" si="1">IF(C7&gt;D7, "Above Market", "Below Market")</f>
        <v>Below Market</v>
      </c>
    </row>
    <row r="8" spans="2:6" x14ac:dyDescent="0.2">
      <c r="B8" t="s">
        <v>10</v>
      </c>
      <c r="C8" s="11">
        <f>AVERAGEIF(Cleaned_Data!B:B,TRIM(B8),Cleaned_Data!G:G)</f>
        <v>37.428571428571431</v>
      </c>
      <c r="D8" s="11">
        <f>AVERAGEIFS(Competitor_Benchmark_Data!F:F, Competitor_Benchmark_Data!C:C,TRIM(B8), Competitor_Benchmark_Data!A:A,"&lt;&gt;The Client")</f>
        <v>133.57142857142858</v>
      </c>
      <c r="E8" s="11">
        <f t="shared" si="0"/>
        <v>96.142857142857153</v>
      </c>
      <c r="F8" t="str">
        <f t="shared" si="1"/>
        <v>Below Market</v>
      </c>
    </row>
    <row r="9" spans="2:6" x14ac:dyDescent="0.2">
      <c r="B9" t="s">
        <v>18</v>
      </c>
      <c r="C9" s="11">
        <f>AVERAGEIF(Cleaned_Data!B:B,TRIM(B9),Cleaned_Data!G:G)</f>
        <v>34.727272727272727</v>
      </c>
      <c r="D9" s="11">
        <f>AVERAGEIFS(Competitor_Benchmark_Data!F:F, Competitor_Benchmark_Data!C:C,TRIM(B9), Competitor_Benchmark_Data!A:A,"&lt;&gt;The Client")</f>
        <v>131.5</v>
      </c>
      <c r="E9" s="11">
        <f t="shared" si="0"/>
        <v>96.77272727272728</v>
      </c>
      <c r="F9" t="str">
        <f t="shared" si="1"/>
        <v>Below Market</v>
      </c>
    </row>
    <row r="10" spans="2:6" x14ac:dyDescent="0.2">
      <c r="B10" t="s">
        <v>30</v>
      </c>
      <c r="C10" s="11">
        <f>AVERAGEIF(Cleaned_Data!B:B,TRIM(B10),Cleaned_Data!G:G)</f>
        <v>57.89473684210526</v>
      </c>
      <c r="D10" s="11">
        <f>AVERAGEIFS(Competitor_Benchmark_Data!F:F, Competitor_Benchmark_Data!C:C,TRIM(B10), Competitor_Benchmark_Data!A:A,"&lt;&gt;The Client")</f>
        <v>121</v>
      </c>
      <c r="E10" s="11">
        <f t="shared" si="0"/>
        <v>63.10526315789474</v>
      </c>
      <c r="F10" t="str">
        <f t="shared" si="1"/>
        <v>Below Market</v>
      </c>
    </row>
    <row r="12" spans="2:6" ht="17" thickBot="1" x14ac:dyDescent="0.25"/>
    <row r="13" spans="2:6" ht="17" thickBot="1" x14ac:dyDescent="0.25">
      <c r="B13" s="31" t="s">
        <v>107</v>
      </c>
    </row>
    <row r="14" spans="2:6" x14ac:dyDescent="0.2">
      <c r="B14" s="1" t="s">
        <v>1</v>
      </c>
      <c r="C14" s="1" t="s">
        <v>88</v>
      </c>
    </row>
    <row r="15" spans="2:6" x14ac:dyDescent="0.2">
      <c r="B15" t="s">
        <v>17</v>
      </c>
      <c r="C15" s="11">
        <f>AVERAGEIF(Cleaned_Data!B:B,TRIM(B15),Cleaned_Data!G:G)</f>
        <v>28.444444444444443</v>
      </c>
    </row>
    <row r="16" spans="2:6" x14ac:dyDescent="0.2">
      <c r="B16" t="s">
        <v>15</v>
      </c>
      <c r="C16" s="11">
        <f>AVERAGEIF(Cleaned_Data!B:B,TRIM(B16),Cleaned_Data!G:G)</f>
        <v>41.555555555555557</v>
      </c>
    </row>
    <row r="17" spans="2:5" x14ac:dyDescent="0.2">
      <c r="B17" t="s">
        <v>10</v>
      </c>
      <c r="C17" s="11">
        <f>AVERAGEIF(Cleaned_Data!B:B,TRIM(B17),Cleaned_Data!G:G)</f>
        <v>37.428571428571431</v>
      </c>
    </row>
    <row r="18" spans="2:5" x14ac:dyDescent="0.2">
      <c r="B18" t="s">
        <v>18</v>
      </c>
      <c r="C18" s="11">
        <f>AVERAGEIF(Cleaned_Data!B:B,TRIM(B18),Cleaned_Data!G:G)</f>
        <v>34.727272727272727</v>
      </c>
    </row>
    <row r="19" spans="2:5" x14ac:dyDescent="0.2">
      <c r="B19" t="s">
        <v>30</v>
      </c>
      <c r="C19" s="11">
        <f>AVERAGEIF(Cleaned_Data!B:B,TRIM(B19),Cleaned_Data!G:G)</f>
        <v>57.89473684210526</v>
      </c>
    </row>
    <row r="23" spans="2:5" x14ac:dyDescent="0.2">
      <c r="B23" s="1" t="s">
        <v>1</v>
      </c>
      <c r="C23" s="1" t="s">
        <v>88</v>
      </c>
      <c r="D23" s="29" t="s">
        <v>103</v>
      </c>
      <c r="E23" s="1" t="s">
        <v>106</v>
      </c>
    </row>
    <row r="24" spans="2:5" x14ac:dyDescent="0.2">
      <c r="B24" t="s">
        <v>17</v>
      </c>
      <c r="C24" s="11">
        <f>AVERAGEIF(Cleaned_Data!B:B,TRIM(B24),Cleaned_Data!G:G)</f>
        <v>28.444444444444443</v>
      </c>
      <c r="D24" s="30">
        <f>AVERAGE(Competitor_Benchmark_Data!F26,Competitor_Benchmark_Data!F16,Competitor_Benchmark_Data!F3)</f>
        <v>35</v>
      </c>
      <c r="E24" s="11">
        <f t="shared" ref="E24:E28" si="2">-(D24-C24)</f>
        <v>-6.5555555555555571</v>
      </c>
    </row>
    <row r="25" spans="2:5" x14ac:dyDescent="0.2">
      <c r="B25" t="s">
        <v>15</v>
      </c>
      <c r="C25" s="11">
        <f>AVERAGEIF(Cleaned_Data!B:B,TRIM(B25),Cleaned_Data!G:G)</f>
        <v>41.555555555555557</v>
      </c>
      <c r="D25" s="11">
        <f>AVERAGE(Competitor_Benchmark_Data!F17,Competitor_Benchmark_Data!F27,Competitor_Benchmark_Data!F4)</f>
        <v>44</v>
      </c>
      <c r="E25" s="11">
        <f t="shared" si="2"/>
        <v>-2.4444444444444429</v>
      </c>
    </row>
    <row r="26" spans="2:5" x14ac:dyDescent="0.2">
      <c r="B26" t="s">
        <v>10</v>
      </c>
      <c r="C26" s="11">
        <f>AVERAGEIF(Cleaned_Data!B:B,TRIM(B26),Cleaned_Data!G:G)</f>
        <v>37.428571428571431</v>
      </c>
      <c r="D26" s="11">
        <f>AVERAGE(Competitor_Benchmark_Data!F5,Competitor_Benchmark_Data!F18,Competitor_Benchmark_Data!F28)</f>
        <v>45</v>
      </c>
      <c r="E26" s="11">
        <f t="shared" si="2"/>
        <v>-7.5714285714285694</v>
      </c>
    </row>
    <row r="27" spans="2:5" x14ac:dyDescent="0.2">
      <c r="B27" t="s">
        <v>18</v>
      </c>
      <c r="C27" s="11">
        <f>AVERAGEIF(Cleaned_Data!B:B,TRIM(B27),Cleaned_Data!G:G)</f>
        <v>34.727272727272727</v>
      </c>
      <c r="D27" s="11">
        <f>AVERAGE(Competitor_Benchmark_Data!F6,Competitor_Benchmark_Data!F19,Competitor_Benchmark_Data!F29)</f>
        <v>38.666666666666664</v>
      </c>
      <c r="E27" s="11">
        <f t="shared" si="2"/>
        <v>-3.9393939393939377</v>
      </c>
    </row>
    <row r="28" spans="2:5" x14ac:dyDescent="0.2">
      <c r="B28" t="s">
        <v>30</v>
      </c>
      <c r="C28" s="11">
        <f>AVERAGEIF(Cleaned_Data!B:B,TRIM(B28),Cleaned_Data!G:G)</f>
        <v>57.89473684210526</v>
      </c>
      <c r="D28" s="11">
        <f>AVERAGE(Competitor_Benchmark_Data!F7,Competitor_Benchmark_Data!F20,Competitor_Benchmark_Data!F30)</f>
        <v>60</v>
      </c>
      <c r="E28" s="11">
        <f t="shared" si="2"/>
        <v>-2.1052631578947398</v>
      </c>
    </row>
    <row r="30" spans="2:5" ht="17" thickBot="1" x14ac:dyDescent="0.25"/>
    <row r="31" spans="2:5" ht="17" thickBot="1" x14ac:dyDescent="0.25">
      <c r="B31" s="108" t="s">
        <v>105</v>
      </c>
      <c r="C31" s="109"/>
    </row>
    <row r="32" spans="2:5" x14ac:dyDescent="0.2">
      <c r="B32" s="1" t="s">
        <v>3</v>
      </c>
      <c r="C32" s="1" t="s">
        <v>104</v>
      </c>
      <c r="D32" s="1" t="s">
        <v>110</v>
      </c>
    </row>
    <row r="33" spans="1:9" x14ac:dyDescent="0.2">
      <c r="B33" t="s">
        <v>11</v>
      </c>
      <c r="C33">
        <v>1.04</v>
      </c>
      <c r="D33" t="s">
        <v>111</v>
      </c>
    </row>
    <row r="34" spans="1:9" x14ac:dyDescent="0.2">
      <c r="B34" t="s">
        <v>20</v>
      </c>
      <c r="C34">
        <v>1</v>
      </c>
      <c r="D34" t="s">
        <v>112</v>
      </c>
    </row>
    <row r="35" spans="1:9" x14ac:dyDescent="0.2">
      <c r="B35" t="s">
        <v>23</v>
      </c>
      <c r="C35">
        <v>0.96</v>
      </c>
      <c r="D35" t="s">
        <v>113</v>
      </c>
    </row>
    <row r="45" spans="1:9" x14ac:dyDescent="0.2">
      <c r="I45" s="11"/>
    </row>
    <row r="46" spans="1:9" x14ac:dyDescent="0.2">
      <c r="A46" t="s">
        <v>1</v>
      </c>
      <c r="B46" t="s">
        <v>114</v>
      </c>
      <c r="C46" t="s">
        <v>3</v>
      </c>
      <c r="D46" t="s">
        <v>119</v>
      </c>
      <c r="E46" t="s">
        <v>120</v>
      </c>
      <c r="F46" t="s">
        <v>117</v>
      </c>
      <c r="G46" t="s">
        <v>118</v>
      </c>
      <c r="H46" t="s">
        <v>115</v>
      </c>
      <c r="I46" t="s">
        <v>116</v>
      </c>
    </row>
    <row r="47" spans="1:9" x14ac:dyDescent="0.2">
      <c r="A47" t="s">
        <v>10</v>
      </c>
      <c r="B47">
        <v>37.43</v>
      </c>
      <c r="C47" t="s">
        <v>11</v>
      </c>
      <c r="D47">
        <v>1.04</v>
      </c>
      <c r="E47">
        <v>45</v>
      </c>
      <c r="F47">
        <v>38</v>
      </c>
      <c r="G47">
        <v>50</v>
      </c>
      <c r="H47">
        <f>Table7[[#This Row],[Competitor Avg]]*Table7[[#This Row],[Season Multi]]</f>
        <v>46.800000000000004</v>
      </c>
      <c r="I47">
        <f>MAX(Table7[[#This Row],[Floor]],MIN(Table7[[#This Row],[Dynamic Price]],Table7[[#This Row],[Ceiling]]))</f>
        <v>46.800000000000004</v>
      </c>
    </row>
    <row r="48" spans="1:9" x14ac:dyDescent="0.2">
      <c r="A48" t="s">
        <v>10</v>
      </c>
      <c r="B48">
        <v>37.43</v>
      </c>
      <c r="C48" t="s">
        <v>20</v>
      </c>
      <c r="D48">
        <v>1</v>
      </c>
      <c r="E48">
        <v>45</v>
      </c>
      <c r="F48">
        <v>38</v>
      </c>
      <c r="G48">
        <v>50</v>
      </c>
      <c r="H48">
        <f>Table7[[#This Row],[Competitor Avg]]*Table7[[#This Row],[Season Multi]]</f>
        <v>45</v>
      </c>
      <c r="I48">
        <f>MAX(Table7[[#This Row],[Floor]],MIN(Table7[[#This Row],[Dynamic Price]],Table7[[#This Row],[Ceiling]]))</f>
        <v>45</v>
      </c>
    </row>
    <row r="49" spans="1:9" x14ac:dyDescent="0.2">
      <c r="A49" t="s">
        <v>10</v>
      </c>
      <c r="B49">
        <v>37.43</v>
      </c>
      <c r="C49" t="s">
        <v>23</v>
      </c>
      <c r="D49">
        <v>0.96</v>
      </c>
      <c r="E49">
        <v>45</v>
      </c>
      <c r="F49">
        <v>38</v>
      </c>
      <c r="G49">
        <v>50</v>
      </c>
      <c r="H49">
        <f>Table7[[#This Row],[Competitor Avg]]*Table7[[#This Row],[Season Multi]]</f>
        <v>43.199999999999996</v>
      </c>
      <c r="I49">
        <f>MAX(Table7[[#This Row],[Floor]],MIN(Table7[[#This Row],[Dynamic Price]],Table7[[#This Row],[Ceiling]]))</f>
        <v>43.199999999999996</v>
      </c>
    </row>
    <row r="50" spans="1:9" x14ac:dyDescent="0.2">
      <c r="A50" t="s">
        <v>15</v>
      </c>
      <c r="B50">
        <v>41.56</v>
      </c>
      <c r="C50" t="s">
        <v>11</v>
      </c>
      <c r="D50">
        <v>1.04</v>
      </c>
      <c r="E50">
        <v>44</v>
      </c>
      <c r="F50">
        <v>40</v>
      </c>
      <c r="G50">
        <v>47</v>
      </c>
      <c r="H50">
        <f>Table7[[#This Row],[Competitor Avg]]*Table7[[#This Row],[Season Multi]]</f>
        <v>45.760000000000005</v>
      </c>
      <c r="I50">
        <f>MAX(Table7[[#This Row],[Floor]],MIN(Table7[[#This Row],[Dynamic Price]],Table7[[#This Row],[Ceiling]]))</f>
        <v>45.760000000000005</v>
      </c>
    </row>
    <row r="51" spans="1:9" x14ac:dyDescent="0.2">
      <c r="A51" t="s">
        <v>15</v>
      </c>
      <c r="B51">
        <v>41.56</v>
      </c>
      <c r="C51" t="s">
        <v>20</v>
      </c>
      <c r="D51">
        <v>1</v>
      </c>
      <c r="E51">
        <v>44</v>
      </c>
      <c r="F51">
        <v>40</v>
      </c>
      <c r="G51">
        <v>47</v>
      </c>
      <c r="H51">
        <f>Table7[[#This Row],[Competitor Avg]]*Table7[[#This Row],[Season Multi]]</f>
        <v>44</v>
      </c>
      <c r="I51">
        <f>MAX(Table7[[#This Row],[Floor]],MIN(Table7[[#This Row],[Dynamic Price]],Table7[[#This Row],[Ceiling]]))</f>
        <v>44</v>
      </c>
    </row>
    <row r="52" spans="1:9" x14ac:dyDescent="0.2">
      <c r="A52" t="s">
        <v>15</v>
      </c>
      <c r="B52">
        <v>41.56</v>
      </c>
      <c r="C52" t="s">
        <v>23</v>
      </c>
      <c r="D52">
        <v>0.96</v>
      </c>
      <c r="E52">
        <v>44</v>
      </c>
      <c r="F52">
        <v>40</v>
      </c>
      <c r="G52">
        <v>47</v>
      </c>
      <c r="H52">
        <f>Table7[[#This Row],[Competitor Avg]]*Table7[[#This Row],[Season Multi]]</f>
        <v>42.239999999999995</v>
      </c>
      <c r="I52">
        <f>MAX(Table7[[#This Row],[Floor]],MIN(Table7[[#This Row],[Dynamic Price]],Table7[[#This Row],[Ceiling]]))</f>
        <v>42.239999999999995</v>
      </c>
    </row>
    <row r="53" spans="1:9" x14ac:dyDescent="0.2">
      <c r="A53" t="s">
        <v>17</v>
      </c>
      <c r="B53">
        <v>28.44</v>
      </c>
      <c r="C53" t="s">
        <v>11</v>
      </c>
      <c r="D53">
        <v>1.04</v>
      </c>
      <c r="E53">
        <v>35</v>
      </c>
      <c r="F53">
        <v>30</v>
      </c>
      <c r="G53">
        <v>40</v>
      </c>
      <c r="H53">
        <f>Table7[[#This Row],[Competitor Avg]]*Table7[[#This Row],[Season Multi]]</f>
        <v>36.4</v>
      </c>
      <c r="I53">
        <f>MAX(Table7[[#This Row],[Floor]],MIN(Table7[[#This Row],[Dynamic Price]],Table7[[#This Row],[Ceiling]]))</f>
        <v>36.4</v>
      </c>
    </row>
    <row r="54" spans="1:9" x14ac:dyDescent="0.2">
      <c r="A54" t="s">
        <v>17</v>
      </c>
      <c r="B54">
        <v>28.44</v>
      </c>
      <c r="C54" t="s">
        <v>20</v>
      </c>
      <c r="D54">
        <v>1</v>
      </c>
      <c r="E54">
        <v>35</v>
      </c>
      <c r="F54">
        <v>30</v>
      </c>
      <c r="G54">
        <v>40</v>
      </c>
      <c r="H54">
        <f>Table7[[#This Row],[Competitor Avg]]*Table7[[#This Row],[Season Multi]]</f>
        <v>35</v>
      </c>
      <c r="I54">
        <f>MAX(Table7[[#This Row],[Floor]],MIN(Table7[[#This Row],[Dynamic Price]],Table7[[#This Row],[Ceiling]]))</f>
        <v>35</v>
      </c>
    </row>
    <row r="55" spans="1:9" x14ac:dyDescent="0.2">
      <c r="A55" t="s">
        <v>17</v>
      </c>
      <c r="B55">
        <v>28.44</v>
      </c>
      <c r="C55" t="s">
        <v>23</v>
      </c>
      <c r="D55">
        <v>0.96</v>
      </c>
      <c r="E55">
        <v>35</v>
      </c>
      <c r="F55">
        <v>30</v>
      </c>
      <c r="G55">
        <v>40</v>
      </c>
      <c r="H55">
        <f>Table7[[#This Row],[Competitor Avg]]*Table7[[#This Row],[Season Multi]]</f>
        <v>33.6</v>
      </c>
      <c r="I55">
        <f>MAX(Table7[[#This Row],[Floor]],MIN(Table7[[#This Row],[Dynamic Price]],Table7[[#This Row],[Ceiling]]))</f>
        <v>33.6</v>
      </c>
    </row>
    <row r="56" spans="1:9" x14ac:dyDescent="0.2">
      <c r="A56" t="s">
        <v>18</v>
      </c>
      <c r="B56">
        <v>34.729999999999997</v>
      </c>
      <c r="C56" t="s">
        <v>11</v>
      </c>
      <c r="D56">
        <v>1.04</v>
      </c>
      <c r="E56">
        <v>39</v>
      </c>
      <c r="F56">
        <v>34</v>
      </c>
      <c r="G56">
        <v>42</v>
      </c>
      <c r="H56">
        <f>Table7[[#This Row],[Competitor Avg]]*Table7[[#This Row],[Season Multi]]</f>
        <v>40.56</v>
      </c>
      <c r="I56">
        <f>MAX(Table7[[#This Row],[Floor]],MIN(Table7[[#This Row],[Dynamic Price]],Table7[[#This Row],[Ceiling]]))</f>
        <v>40.56</v>
      </c>
    </row>
    <row r="57" spans="1:9" x14ac:dyDescent="0.2">
      <c r="A57" t="s">
        <v>18</v>
      </c>
      <c r="B57">
        <v>34.729999999999997</v>
      </c>
      <c r="C57" t="s">
        <v>20</v>
      </c>
      <c r="D57">
        <v>1</v>
      </c>
      <c r="E57">
        <v>39</v>
      </c>
      <c r="F57">
        <v>34</v>
      </c>
      <c r="G57">
        <v>42</v>
      </c>
      <c r="H57">
        <f>Table7[[#This Row],[Competitor Avg]]*Table7[[#This Row],[Season Multi]]</f>
        <v>39</v>
      </c>
      <c r="I57">
        <f>MAX(Table7[[#This Row],[Floor]],MIN(Table7[[#This Row],[Dynamic Price]],Table7[[#This Row],[Ceiling]]))</f>
        <v>39</v>
      </c>
    </row>
    <row r="58" spans="1:9" x14ac:dyDescent="0.2">
      <c r="A58" t="s">
        <v>18</v>
      </c>
      <c r="B58">
        <v>34.729999999999997</v>
      </c>
      <c r="C58" t="s">
        <v>23</v>
      </c>
      <c r="D58">
        <v>0.96</v>
      </c>
      <c r="E58">
        <v>39</v>
      </c>
      <c r="F58">
        <v>34</v>
      </c>
      <c r="G58">
        <v>42</v>
      </c>
      <c r="H58">
        <f>Table7[[#This Row],[Competitor Avg]]*Table7[[#This Row],[Season Multi]]</f>
        <v>37.44</v>
      </c>
      <c r="I58">
        <f>MAX(Table7[[#This Row],[Floor]],MIN(Table7[[#This Row],[Dynamic Price]],Table7[[#This Row],[Ceiling]]))</f>
        <v>37.44</v>
      </c>
    </row>
    <row r="59" spans="1:9" x14ac:dyDescent="0.2">
      <c r="A59" t="s">
        <v>30</v>
      </c>
      <c r="B59">
        <v>57.89</v>
      </c>
      <c r="C59" t="s">
        <v>11</v>
      </c>
      <c r="D59">
        <v>1.04</v>
      </c>
      <c r="E59">
        <v>60</v>
      </c>
      <c r="F59">
        <v>55</v>
      </c>
      <c r="G59">
        <v>65</v>
      </c>
      <c r="H59">
        <f>Table7[[#This Row],[Competitor Avg]]*Table7[[#This Row],[Season Multi]]</f>
        <v>62.400000000000006</v>
      </c>
      <c r="I59">
        <f>MAX(Table7[[#This Row],[Floor]],MIN(Table7[[#This Row],[Dynamic Price]],Table7[[#This Row],[Ceiling]]))</f>
        <v>62.400000000000006</v>
      </c>
    </row>
    <row r="60" spans="1:9" x14ac:dyDescent="0.2">
      <c r="A60" t="s">
        <v>30</v>
      </c>
      <c r="B60">
        <v>57.89</v>
      </c>
      <c r="C60" t="s">
        <v>20</v>
      </c>
      <c r="D60">
        <v>1</v>
      </c>
      <c r="E60">
        <v>60</v>
      </c>
      <c r="F60">
        <v>55</v>
      </c>
      <c r="G60">
        <v>65</v>
      </c>
      <c r="H60">
        <f>Table7[[#This Row],[Competitor Avg]]*Table7[[#This Row],[Season Multi]]</f>
        <v>60</v>
      </c>
      <c r="I60">
        <f>MAX(Table7[[#This Row],[Floor]],MIN(Table7[[#This Row],[Dynamic Price]],Table7[[#This Row],[Ceiling]]))</f>
        <v>60</v>
      </c>
    </row>
    <row r="61" spans="1:9" x14ac:dyDescent="0.2">
      <c r="A61" t="s">
        <v>30</v>
      </c>
      <c r="B61">
        <v>57.89</v>
      </c>
      <c r="C61" t="s">
        <v>23</v>
      </c>
      <c r="D61">
        <v>0.96</v>
      </c>
      <c r="E61">
        <v>60</v>
      </c>
      <c r="F61">
        <v>55</v>
      </c>
      <c r="G61">
        <v>65</v>
      </c>
      <c r="H61">
        <f>Table7[[#This Row],[Competitor Avg]]*Table7[[#This Row],[Season Multi]]</f>
        <v>57.599999999999994</v>
      </c>
      <c r="I61">
        <f>MAX(Table7[[#This Row],[Floor]],MIN(Table7[[#This Row],[Dynamic Price]],Table7[[#This Row],[Ceiling]]))</f>
        <v>57.599999999999994</v>
      </c>
    </row>
    <row r="67" spans="3:8" x14ac:dyDescent="0.2">
      <c r="F67" s="42"/>
      <c r="G67" s="47"/>
      <c r="H67" s="47"/>
    </row>
    <row r="70" spans="3:8" x14ac:dyDescent="0.2">
      <c r="C70" s="40" t="s">
        <v>1</v>
      </c>
      <c r="D70" s="41" t="s">
        <v>114</v>
      </c>
      <c r="E70" s="44" t="s">
        <v>116</v>
      </c>
    </row>
    <row r="71" spans="3:8" x14ac:dyDescent="0.2">
      <c r="C71" s="42" t="s">
        <v>10</v>
      </c>
      <c r="D71" s="47">
        <v>37.43</v>
      </c>
      <c r="E71" s="45">
        <v>45</v>
      </c>
    </row>
    <row r="72" spans="3:8" x14ac:dyDescent="0.2">
      <c r="C72" s="42" t="s">
        <v>15</v>
      </c>
      <c r="D72" s="47">
        <v>41.56</v>
      </c>
      <c r="E72" s="45">
        <v>44</v>
      </c>
    </row>
    <row r="73" spans="3:8" x14ac:dyDescent="0.2">
      <c r="C73" s="42" t="s">
        <v>17</v>
      </c>
      <c r="D73" s="47">
        <v>28.44</v>
      </c>
      <c r="E73" s="45">
        <v>35</v>
      </c>
    </row>
    <row r="74" spans="3:8" x14ac:dyDescent="0.2">
      <c r="C74" s="42" t="s">
        <v>18</v>
      </c>
      <c r="D74" s="47">
        <v>34.729999999999997</v>
      </c>
      <c r="E74" s="45">
        <v>39</v>
      </c>
    </row>
    <row r="75" spans="3:8" x14ac:dyDescent="0.2">
      <c r="C75" s="43" t="s">
        <v>30</v>
      </c>
      <c r="D75" s="48">
        <v>57.89</v>
      </c>
      <c r="E75" s="46">
        <v>60</v>
      </c>
    </row>
    <row r="80" spans="3:8" x14ac:dyDescent="0.2">
      <c r="C80" s="71"/>
      <c r="D80" s="72"/>
      <c r="E80" s="72"/>
      <c r="F80" s="73"/>
    </row>
    <row r="81" spans="3:6" x14ac:dyDescent="0.2">
      <c r="C81" s="42"/>
      <c r="D81" s="47"/>
      <c r="E81" s="47"/>
      <c r="F81" s="45"/>
    </row>
    <row r="82" spans="3:6" x14ac:dyDescent="0.2">
      <c r="C82" s="42"/>
      <c r="D82" s="47"/>
      <c r="E82" s="47"/>
      <c r="F82" s="45"/>
    </row>
    <row r="83" spans="3:6" x14ac:dyDescent="0.2">
      <c r="C83" s="42"/>
      <c r="D83" s="47"/>
      <c r="E83" s="47"/>
      <c r="F83" s="45"/>
    </row>
    <row r="84" spans="3:6" x14ac:dyDescent="0.2">
      <c r="C84" s="42"/>
      <c r="D84" s="47"/>
      <c r="E84" s="47"/>
      <c r="F84" s="45"/>
    </row>
    <row r="85" spans="3:6" x14ac:dyDescent="0.2">
      <c r="C85" s="42"/>
      <c r="D85" s="47"/>
      <c r="E85" s="47"/>
      <c r="F85" s="45"/>
    </row>
    <row r="86" spans="3:6" x14ac:dyDescent="0.2">
      <c r="C86" s="42"/>
      <c r="D86" s="47"/>
      <c r="E86" s="47"/>
      <c r="F86" s="45"/>
    </row>
    <row r="87" spans="3:6" x14ac:dyDescent="0.2">
      <c r="C87" s="42"/>
      <c r="D87" s="47"/>
      <c r="E87" s="47"/>
      <c r="F87" s="45"/>
    </row>
    <row r="88" spans="3:6" x14ac:dyDescent="0.2">
      <c r="C88" s="42"/>
      <c r="D88" s="47"/>
      <c r="E88" s="47"/>
      <c r="F88" s="45"/>
    </row>
    <row r="89" spans="3:6" x14ac:dyDescent="0.2">
      <c r="C89" s="42"/>
      <c r="D89" s="47"/>
      <c r="E89" s="47"/>
      <c r="F89" s="45"/>
    </row>
    <row r="90" spans="3:6" x14ac:dyDescent="0.2">
      <c r="C90" s="42"/>
      <c r="D90" s="47"/>
      <c r="E90" s="47"/>
      <c r="F90" s="45"/>
    </row>
    <row r="91" spans="3:6" x14ac:dyDescent="0.2">
      <c r="C91" s="42"/>
      <c r="D91" s="47"/>
      <c r="E91" s="47"/>
      <c r="F91" s="45"/>
    </row>
    <row r="92" spans="3:6" x14ac:dyDescent="0.2">
      <c r="C92" s="42"/>
      <c r="D92" s="47"/>
      <c r="E92" s="47"/>
      <c r="F92" s="45"/>
    </row>
    <row r="93" spans="3:6" x14ac:dyDescent="0.2">
      <c r="C93" s="42"/>
      <c r="D93" s="47"/>
      <c r="E93" s="47"/>
      <c r="F93" s="45"/>
    </row>
    <row r="94" spans="3:6" x14ac:dyDescent="0.2">
      <c r="C94" s="42"/>
      <c r="D94" s="47"/>
      <c r="E94" s="47"/>
      <c r="F94" s="45"/>
    </row>
    <row r="95" spans="3:6" x14ac:dyDescent="0.2">
      <c r="C95" s="43"/>
      <c r="D95" s="48"/>
      <c r="E95" s="48"/>
      <c r="F95" s="46"/>
    </row>
  </sheetData>
  <mergeCells count="1">
    <mergeCell ref="B31:C31"/>
  </mergeCells>
  <pageMargins left="0.7" right="0.7" top="0.75" bottom="0.75" header="0.3" footer="0.3"/>
  <drawing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833C-BF9F-5D4D-805F-702DFBA72558}">
  <sheetPr codeName="Sheet6"/>
  <dimension ref="A1:Q41"/>
  <sheetViews>
    <sheetView zoomScale="94" zoomScaleNormal="100" workbookViewId="0">
      <selection activeCell="B6" sqref="B6"/>
    </sheetView>
  </sheetViews>
  <sheetFormatPr baseColWidth="10" defaultRowHeight="16" x14ac:dyDescent="0.2"/>
  <cols>
    <col min="1" max="1" width="13" bestFit="1" customWidth="1"/>
    <col min="2" max="2" width="16.1640625" bestFit="1" customWidth="1"/>
    <col min="3" max="3" width="17.83203125" bestFit="1" customWidth="1"/>
    <col min="4" max="4" width="16.83203125" customWidth="1"/>
    <col min="5" max="6" width="17.1640625" customWidth="1"/>
    <col min="7" max="7" width="11.6640625" customWidth="1"/>
    <col min="8" max="8" width="23" customWidth="1"/>
    <col min="9" max="9" width="11.6640625" customWidth="1"/>
    <col min="10" max="10" width="14.5" customWidth="1"/>
    <col min="11" max="11" width="17" customWidth="1"/>
  </cols>
  <sheetData>
    <row r="1" spans="1:16" x14ac:dyDescent="0.2">
      <c r="A1" s="7" t="s">
        <v>122</v>
      </c>
      <c r="B1" s="8">
        <v>2023</v>
      </c>
    </row>
    <row r="2" spans="1:16" x14ac:dyDescent="0.2">
      <c r="D2" s="11"/>
      <c r="E2" s="11"/>
      <c r="F2" s="11"/>
      <c r="G2" s="11"/>
    </row>
    <row r="3" spans="1:16" x14ac:dyDescent="0.2">
      <c r="A3" s="7" t="s">
        <v>121</v>
      </c>
      <c r="B3" t="s">
        <v>63</v>
      </c>
      <c r="D3" s="11">
        <f>B23+B24</f>
        <v>5302</v>
      </c>
      <c r="E3" s="11"/>
      <c r="F3" s="11"/>
      <c r="G3" s="11"/>
    </row>
    <row r="4" spans="1:16" x14ac:dyDescent="0.2">
      <c r="A4" s="8" t="s">
        <v>18</v>
      </c>
      <c r="B4">
        <v>709</v>
      </c>
      <c r="D4" s="11"/>
      <c r="E4" s="11"/>
      <c r="F4" s="11"/>
      <c r="G4" s="11"/>
    </row>
    <row r="5" spans="1:16" x14ac:dyDescent="0.2">
      <c r="A5" s="8" t="s">
        <v>62</v>
      </c>
      <c r="B5">
        <v>709</v>
      </c>
      <c r="D5" s="11"/>
      <c r="E5" s="11"/>
      <c r="F5" s="11"/>
      <c r="G5" s="11"/>
    </row>
    <row r="6" spans="1:16" x14ac:dyDescent="0.2">
      <c r="D6" s="11"/>
      <c r="E6" s="11"/>
      <c r="F6" s="11"/>
      <c r="G6" s="11"/>
    </row>
    <row r="7" spans="1:16" x14ac:dyDescent="0.2">
      <c r="D7" s="11"/>
      <c r="E7" s="11"/>
      <c r="F7" s="11"/>
      <c r="G7" s="11"/>
    </row>
    <row r="8" spans="1:16" x14ac:dyDescent="0.2">
      <c r="D8" s="11"/>
    </row>
    <row r="10" spans="1:16" x14ac:dyDescent="0.2">
      <c r="A10" s="36" t="s">
        <v>123</v>
      </c>
      <c r="B10" s="34" t="s">
        <v>125</v>
      </c>
      <c r="C10" s="36" t="s">
        <v>124</v>
      </c>
      <c r="D10" s="34" t="s">
        <v>125</v>
      </c>
      <c r="F10" s="37"/>
    </row>
    <row r="11" spans="1:16" x14ac:dyDescent="0.2">
      <c r="A11" s="35" t="s">
        <v>20</v>
      </c>
      <c r="B11" s="34">
        <v>1135</v>
      </c>
      <c r="C11" s="35" t="s">
        <v>20</v>
      </c>
      <c r="D11" s="34">
        <v>1082</v>
      </c>
    </row>
    <row r="12" spans="1:16" x14ac:dyDescent="0.2">
      <c r="A12" s="35" t="s">
        <v>11</v>
      </c>
      <c r="B12" s="34">
        <v>2857</v>
      </c>
      <c r="C12" s="35" t="s">
        <v>11</v>
      </c>
      <c r="D12" s="34">
        <v>2445</v>
      </c>
    </row>
    <row r="13" spans="1:16" x14ac:dyDescent="0.2">
      <c r="A13" s="35" t="s">
        <v>23</v>
      </c>
      <c r="B13" s="34">
        <v>1229</v>
      </c>
      <c r="C13" s="35" t="s">
        <v>23</v>
      </c>
      <c r="D13" s="34">
        <v>795</v>
      </c>
    </row>
    <row r="15" spans="1:16" x14ac:dyDescent="0.2">
      <c r="A15" t="s">
        <v>3</v>
      </c>
      <c r="B15" t="s">
        <v>126</v>
      </c>
      <c r="C15" t="s">
        <v>127</v>
      </c>
      <c r="D15" s="10" t="s">
        <v>128</v>
      </c>
      <c r="E15" t="s">
        <v>129</v>
      </c>
    </row>
    <row r="16" spans="1:16" x14ac:dyDescent="0.2">
      <c r="A16" t="s">
        <v>11</v>
      </c>
      <c r="B16">
        <v>2445</v>
      </c>
      <c r="C16">
        <v>2857</v>
      </c>
      <c r="D16" s="10">
        <f>(C16-B16)/B16</f>
        <v>0.16850715746421269</v>
      </c>
      <c r="E16">
        <f>C16+(C16-B16)</f>
        <v>3269</v>
      </c>
      <c r="K16" s="33"/>
      <c r="L16" s="11"/>
      <c r="M16" s="33"/>
      <c r="N16" s="4"/>
      <c r="O16" s="11"/>
      <c r="P16" s="11"/>
    </row>
    <row r="17" spans="1:17" x14ac:dyDescent="0.2">
      <c r="A17" t="s">
        <v>20</v>
      </c>
      <c r="B17">
        <v>1082</v>
      </c>
      <c r="C17">
        <v>1135</v>
      </c>
      <c r="D17" s="10">
        <f>(C17-B17)/B17</f>
        <v>4.8983364140480594E-2</v>
      </c>
      <c r="E17">
        <f>C17+(C17-B17)</f>
        <v>1188</v>
      </c>
      <c r="K17" s="33"/>
      <c r="L17" s="11"/>
      <c r="M17" s="33"/>
      <c r="N17" s="4"/>
      <c r="O17" s="11"/>
      <c r="P17" s="11"/>
    </row>
    <row r="18" spans="1:17" x14ac:dyDescent="0.2">
      <c r="A18" t="s">
        <v>23</v>
      </c>
      <c r="B18">
        <v>795</v>
      </c>
      <c r="C18">
        <v>1229</v>
      </c>
      <c r="D18" s="10">
        <f>(C18-B18)/B18</f>
        <v>0.54591194968553458</v>
      </c>
      <c r="E18">
        <f>C18+(C18-B18)</f>
        <v>1663</v>
      </c>
      <c r="K18" s="33"/>
      <c r="L18" s="11"/>
      <c r="M18" s="33"/>
      <c r="N18" s="4"/>
      <c r="O18" s="11"/>
      <c r="P18" s="11"/>
    </row>
    <row r="19" spans="1:17" x14ac:dyDescent="0.2">
      <c r="A19" t="s">
        <v>130</v>
      </c>
      <c r="B19">
        <f>SUM(B16:B18)</f>
        <v>4322</v>
      </c>
      <c r="C19">
        <f>SUM(C16:C18)</f>
        <v>5221</v>
      </c>
      <c r="D19" s="10">
        <f>(C19-B19)/B19</f>
        <v>0.20800555298472928</v>
      </c>
      <c r="E19">
        <f>SUM(E16:E18)</f>
        <v>6120</v>
      </c>
      <c r="K19" s="33"/>
      <c r="L19" s="11"/>
      <c r="M19" s="33"/>
      <c r="N19" s="4"/>
      <c r="O19" s="11"/>
      <c r="P19" s="11"/>
    </row>
    <row r="20" spans="1:17" x14ac:dyDescent="0.2">
      <c r="L20" s="33"/>
      <c r="M20" s="11"/>
      <c r="N20" s="33"/>
      <c r="O20" s="4"/>
      <c r="P20" s="11"/>
      <c r="Q20" s="11"/>
    </row>
    <row r="21" spans="1:17" x14ac:dyDescent="0.2">
      <c r="L21" s="33"/>
      <c r="M21" s="11"/>
      <c r="N21" s="33"/>
      <c r="O21" s="4"/>
      <c r="P21" s="11"/>
      <c r="Q21" s="11"/>
    </row>
    <row r="22" spans="1:17" x14ac:dyDescent="0.2">
      <c r="A22" t="s">
        <v>131</v>
      </c>
      <c r="B22" t="s">
        <v>11</v>
      </c>
      <c r="C22" t="s">
        <v>20</v>
      </c>
      <c r="D22" t="s">
        <v>23</v>
      </c>
      <c r="E22" t="s">
        <v>130</v>
      </c>
    </row>
    <row r="23" spans="1:17" x14ac:dyDescent="0.2">
      <c r="A23">
        <v>2022</v>
      </c>
      <c r="B23">
        <v>2445</v>
      </c>
      <c r="C23">
        <v>1082</v>
      </c>
      <c r="D23">
        <v>795</v>
      </c>
      <c r="E23">
        <f>SUM(B23:D23)</f>
        <v>4322</v>
      </c>
    </row>
    <row r="24" spans="1:17" x14ac:dyDescent="0.2">
      <c r="A24">
        <v>2023</v>
      </c>
      <c r="B24">
        <v>2857</v>
      </c>
      <c r="C24">
        <v>1135</v>
      </c>
      <c r="D24">
        <v>1229</v>
      </c>
      <c r="E24">
        <f>SUM(B24:D24)</f>
        <v>5221</v>
      </c>
    </row>
    <row r="25" spans="1:17" x14ac:dyDescent="0.2">
      <c r="A25" t="s">
        <v>132</v>
      </c>
      <c r="B25">
        <v>3269</v>
      </c>
      <c r="C25">
        <v>1188</v>
      </c>
      <c r="D25">
        <v>1663</v>
      </c>
      <c r="E25">
        <f>SUM(B25:D25)</f>
        <v>6120</v>
      </c>
    </row>
    <row r="27" spans="1:17" x14ac:dyDescent="0.2">
      <c r="A27" s="36">
        <v>2022</v>
      </c>
      <c r="B27" s="34"/>
      <c r="C27" s="36">
        <v>2023</v>
      </c>
      <c r="D27" s="34"/>
    </row>
    <row r="28" spans="1:17" x14ac:dyDescent="0.2">
      <c r="A28" s="35" t="s">
        <v>15</v>
      </c>
      <c r="B28" s="34">
        <v>1203</v>
      </c>
      <c r="C28" s="38" t="s">
        <v>15</v>
      </c>
      <c r="D28" s="39">
        <v>1475</v>
      </c>
    </row>
    <row r="29" spans="1:17" x14ac:dyDescent="0.2">
      <c r="A29" s="35" t="s">
        <v>30</v>
      </c>
      <c r="B29" s="34">
        <v>428</v>
      </c>
      <c r="C29" s="38" t="s">
        <v>30</v>
      </c>
      <c r="D29" s="39">
        <v>527</v>
      </c>
    </row>
    <row r="30" spans="1:17" x14ac:dyDescent="0.2">
      <c r="A30" s="35" t="s">
        <v>10</v>
      </c>
      <c r="B30" s="34">
        <v>1527</v>
      </c>
      <c r="C30" s="38" t="s">
        <v>10</v>
      </c>
      <c r="D30" s="39">
        <v>1855</v>
      </c>
    </row>
    <row r="31" spans="1:17" x14ac:dyDescent="0.2">
      <c r="A31" s="35" t="s">
        <v>18</v>
      </c>
      <c r="B31" s="34">
        <v>633</v>
      </c>
      <c r="C31" s="38" t="s">
        <v>18</v>
      </c>
      <c r="D31" s="39">
        <v>709</v>
      </c>
    </row>
    <row r="32" spans="1:17" x14ac:dyDescent="0.2">
      <c r="A32" s="35" t="s">
        <v>17</v>
      </c>
      <c r="B32" s="34">
        <v>531</v>
      </c>
      <c r="C32" s="38" t="s">
        <v>17</v>
      </c>
      <c r="D32" s="39">
        <v>655</v>
      </c>
    </row>
    <row r="35" spans="1:4" x14ac:dyDescent="0.2">
      <c r="A35" t="s">
        <v>1</v>
      </c>
      <c r="B35" t="s">
        <v>133</v>
      </c>
      <c r="C35" t="s">
        <v>129</v>
      </c>
      <c r="D35" t="s">
        <v>134</v>
      </c>
    </row>
    <row r="36" spans="1:4" x14ac:dyDescent="0.2">
      <c r="A36" t="s">
        <v>15</v>
      </c>
      <c r="B36">
        <v>1475</v>
      </c>
      <c r="C36">
        <f>B36+(B36-1203)</f>
        <v>1747</v>
      </c>
      <c r="D36">
        <f>C36-B36</f>
        <v>272</v>
      </c>
    </row>
    <row r="37" spans="1:4" x14ac:dyDescent="0.2">
      <c r="A37" t="s">
        <v>30</v>
      </c>
      <c r="B37">
        <v>527</v>
      </c>
      <c r="C37">
        <f>B37+(B37-428)</f>
        <v>626</v>
      </c>
      <c r="D37">
        <f>C37-B37</f>
        <v>99</v>
      </c>
    </row>
    <row r="38" spans="1:4" x14ac:dyDescent="0.2">
      <c r="A38" t="s">
        <v>10</v>
      </c>
      <c r="B38">
        <v>1855</v>
      </c>
      <c r="C38">
        <f>B38+(B38-1527)</f>
        <v>2183</v>
      </c>
      <c r="D38">
        <f>C38-B38</f>
        <v>328</v>
      </c>
    </row>
    <row r="39" spans="1:4" x14ac:dyDescent="0.2">
      <c r="A39" t="s">
        <v>18</v>
      </c>
      <c r="B39">
        <v>709</v>
      </c>
      <c r="C39">
        <f>B39+(B39-633)</f>
        <v>785</v>
      </c>
      <c r="D39">
        <f>C39-B39</f>
        <v>76</v>
      </c>
    </row>
    <row r="40" spans="1:4" x14ac:dyDescent="0.2">
      <c r="A40" t="s">
        <v>17</v>
      </c>
      <c r="B40">
        <v>655</v>
      </c>
      <c r="C40">
        <f>B40+(B40-531)</f>
        <v>779</v>
      </c>
      <c r="D40">
        <f>C40-B40</f>
        <v>124</v>
      </c>
    </row>
    <row r="41" spans="1:4" x14ac:dyDescent="0.2">
      <c r="A41" t="s">
        <v>130</v>
      </c>
      <c r="B41">
        <f>SUM(B36:B40)</f>
        <v>5221</v>
      </c>
      <c r="C41">
        <f>SUM(C36:C40)</f>
        <v>6120</v>
      </c>
      <c r="D41">
        <f>SUM(D36:D40)</f>
        <v>899</v>
      </c>
    </row>
  </sheetData>
  <pageMargins left="0.7" right="0.7" top="0.75" bottom="0.75" header="0.3" footer="0.3"/>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6FF7-5021-B243-9994-12F2B4CD6DD9}">
  <sheetPr codeName="Sheet7"/>
  <dimension ref="A1:H26"/>
  <sheetViews>
    <sheetView zoomScale="91" zoomScaleNormal="100" workbookViewId="0">
      <selection activeCell="A24" sqref="A24"/>
    </sheetView>
  </sheetViews>
  <sheetFormatPr baseColWidth="10" defaultColWidth="15.6640625" defaultRowHeight="16" x14ac:dyDescent="0.2"/>
  <cols>
    <col min="1" max="1" width="32.33203125" customWidth="1"/>
    <col min="3" max="3" width="18.6640625" customWidth="1"/>
  </cols>
  <sheetData>
    <row r="1" spans="1:8" x14ac:dyDescent="0.2">
      <c r="A1" s="50" t="s">
        <v>141</v>
      </c>
    </row>
    <row r="2" spans="1:8" x14ac:dyDescent="0.2">
      <c r="A2" t="s">
        <v>1</v>
      </c>
      <c r="B2" t="s">
        <v>142</v>
      </c>
      <c r="C2" t="s">
        <v>136</v>
      </c>
      <c r="D2" t="s">
        <v>64</v>
      </c>
      <c r="E2" t="s">
        <v>137</v>
      </c>
      <c r="F2" t="s">
        <v>65</v>
      </c>
      <c r="G2" t="s">
        <v>135</v>
      </c>
      <c r="H2" t="s">
        <v>81</v>
      </c>
    </row>
    <row r="3" spans="1:8" x14ac:dyDescent="0.2">
      <c r="A3" t="s">
        <v>10</v>
      </c>
      <c r="B3" s="4">
        <v>1855</v>
      </c>
      <c r="C3" s="11">
        <v>37.43</v>
      </c>
      <c r="D3" s="11">
        <f>B3*C3</f>
        <v>69432.649999999994</v>
      </c>
      <c r="E3" s="11">
        <v>16.45</v>
      </c>
      <c r="F3" s="11">
        <f>B3*E3</f>
        <v>30514.75</v>
      </c>
      <c r="G3" s="11">
        <f>D3-F3</f>
        <v>38917.899999999994</v>
      </c>
      <c r="H3" s="10">
        <f t="shared" ref="H3:H8" si="0">G3/D3</f>
        <v>0.56051295752070529</v>
      </c>
    </row>
    <row r="4" spans="1:8" x14ac:dyDescent="0.2">
      <c r="A4" t="s">
        <v>15</v>
      </c>
      <c r="B4" s="4">
        <v>1475</v>
      </c>
      <c r="C4" s="11">
        <v>41.56</v>
      </c>
      <c r="D4" s="11">
        <f>B4*C4</f>
        <v>61301</v>
      </c>
      <c r="E4" s="11">
        <v>18.440000000000001</v>
      </c>
      <c r="F4" s="11">
        <f>B4*E4</f>
        <v>27199.000000000004</v>
      </c>
      <c r="G4" s="11">
        <f>D4-F4</f>
        <v>34102</v>
      </c>
      <c r="H4" s="10">
        <f t="shared" si="0"/>
        <v>0.55630413859480266</v>
      </c>
    </row>
    <row r="5" spans="1:8" x14ac:dyDescent="0.2">
      <c r="A5" t="s">
        <v>17</v>
      </c>
      <c r="B5" s="4">
        <v>655</v>
      </c>
      <c r="C5" s="11">
        <v>28.44</v>
      </c>
      <c r="D5" s="11">
        <f>B5*C5</f>
        <v>18628.2</v>
      </c>
      <c r="E5" s="11">
        <v>13.44</v>
      </c>
      <c r="F5" s="11">
        <f>B5*E5</f>
        <v>8803.1999999999989</v>
      </c>
      <c r="G5" s="11">
        <f>D5-F5</f>
        <v>9825.0000000000018</v>
      </c>
      <c r="H5" s="10">
        <f t="shared" si="0"/>
        <v>0.52742616033755285</v>
      </c>
    </row>
    <row r="6" spans="1:8" x14ac:dyDescent="0.2">
      <c r="A6" t="s">
        <v>18</v>
      </c>
      <c r="B6" s="4">
        <v>709</v>
      </c>
      <c r="C6" s="11">
        <v>34.729999999999997</v>
      </c>
      <c r="D6" s="11">
        <f>B6*C6</f>
        <v>24623.569999999996</v>
      </c>
      <c r="E6" s="11">
        <v>15.41</v>
      </c>
      <c r="F6" s="11">
        <f>B6*E6</f>
        <v>10925.69</v>
      </c>
      <c r="G6" s="11">
        <f>D6-F6</f>
        <v>13697.879999999996</v>
      </c>
      <c r="H6" s="10">
        <f t="shared" si="0"/>
        <v>0.55629139072847678</v>
      </c>
    </row>
    <row r="7" spans="1:8" x14ac:dyDescent="0.2">
      <c r="A7" t="s">
        <v>30</v>
      </c>
      <c r="B7" s="4">
        <v>527</v>
      </c>
      <c r="C7" s="11">
        <v>57.89</v>
      </c>
      <c r="D7" s="11">
        <f>B7*C7</f>
        <v>30508.03</v>
      </c>
      <c r="E7" s="11">
        <v>22.47</v>
      </c>
      <c r="F7" s="11">
        <f>B7*E7</f>
        <v>11841.689999999999</v>
      </c>
      <c r="G7" s="11">
        <f>D7-F7</f>
        <v>18666.34</v>
      </c>
      <c r="H7" s="10">
        <f t="shared" si="0"/>
        <v>0.6118500604594922</v>
      </c>
    </row>
    <row r="8" spans="1:8" x14ac:dyDescent="0.2">
      <c r="A8" t="s">
        <v>130</v>
      </c>
      <c r="B8" s="4">
        <f>SUM(B3:B7)</f>
        <v>5221</v>
      </c>
      <c r="C8" s="11"/>
      <c r="D8" s="11">
        <f>SUM(D3:D7)</f>
        <v>204493.45</v>
      </c>
      <c r="E8" s="11"/>
      <c r="F8" s="11">
        <f>SUM(F3:F7)</f>
        <v>89284.33</v>
      </c>
      <c r="G8" s="11">
        <f>SUM(G3:G7)</f>
        <v>115209.11999999998</v>
      </c>
      <c r="H8" s="10">
        <f t="shared" si="0"/>
        <v>0.56338782489121275</v>
      </c>
    </row>
    <row r="11" spans="1:8" x14ac:dyDescent="0.2">
      <c r="A11" s="110" t="s">
        <v>143</v>
      </c>
      <c r="B11" s="110"/>
    </row>
    <row r="12" spans="1:8" x14ac:dyDescent="0.2">
      <c r="A12" t="s">
        <v>1</v>
      </c>
      <c r="B12" t="s">
        <v>138</v>
      </c>
      <c r="C12" t="s">
        <v>139</v>
      </c>
      <c r="D12" t="s">
        <v>64</v>
      </c>
      <c r="E12" t="s">
        <v>137</v>
      </c>
      <c r="F12" t="s">
        <v>65</v>
      </c>
      <c r="G12" t="s">
        <v>135</v>
      </c>
      <c r="H12" t="s">
        <v>81</v>
      </c>
    </row>
    <row r="13" spans="1:8" x14ac:dyDescent="0.2">
      <c r="A13" t="s">
        <v>10</v>
      </c>
      <c r="B13" s="4">
        <v>2183</v>
      </c>
      <c r="C13" s="11">
        <v>45.63</v>
      </c>
      <c r="D13" s="11">
        <f>B13*C13</f>
        <v>99610.290000000008</v>
      </c>
      <c r="E13" s="11">
        <v>16.45</v>
      </c>
      <c r="F13" s="11">
        <f>B13*E13</f>
        <v>35910.35</v>
      </c>
      <c r="G13" s="11">
        <f>D13-F13</f>
        <v>63699.94000000001</v>
      </c>
      <c r="H13" s="10">
        <f t="shared" ref="H13:H18" si="1">G13/D13</f>
        <v>0.63949156256848572</v>
      </c>
    </row>
    <row r="14" spans="1:8" x14ac:dyDescent="0.2">
      <c r="A14" t="s">
        <v>15</v>
      </c>
      <c r="B14" s="4">
        <v>1747</v>
      </c>
      <c r="C14" s="11">
        <v>44.61</v>
      </c>
      <c r="D14" s="11">
        <f>B14*C14</f>
        <v>77933.67</v>
      </c>
      <c r="E14" s="11">
        <v>18.440000000000001</v>
      </c>
      <c r="F14" s="11">
        <f>B14*E14</f>
        <v>32214.680000000004</v>
      </c>
      <c r="G14" s="11">
        <f>D14-F14</f>
        <v>45718.989999999991</v>
      </c>
      <c r="H14" s="10">
        <f t="shared" si="1"/>
        <v>0.58663976686841501</v>
      </c>
    </row>
    <row r="15" spans="1:8" x14ac:dyDescent="0.2">
      <c r="A15" t="s">
        <v>17</v>
      </c>
      <c r="B15" s="4">
        <v>779</v>
      </c>
      <c r="C15" s="11">
        <v>35.47</v>
      </c>
      <c r="D15" s="11">
        <f>B15*C15</f>
        <v>27631.129999999997</v>
      </c>
      <c r="E15" s="11">
        <v>13.44</v>
      </c>
      <c r="F15" s="11">
        <f>B15*E15</f>
        <v>10469.76</v>
      </c>
      <c r="G15" s="11">
        <f>D15-F15</f>
        <v>17161.369999999995</v>
      </c>
      <c r="H15" s="10">
        <f t="shared" si="1"/>
        <v>0.62108824358612902</v>
      </c>
    </row>
    <row r="16" spans="1:8" x14ac:dyDescent="0.2">
      <c r="A16" t="s">
        <v>18</v>
      </c>
      <c r="B16" s="4">
        <v>785</v>
      </c>
      <c r="C16" s="11">
        <v>39.53</v>
      </c>
      <c r="D16" s="11">
        <f>B16*C16</f>
        <v>31031.05</v>
      </c>
      <c r="E16" s="11">
        <v>15.41</v>
      </c>
      <c r="F16" s="11">
        <f>B16*E16</f>
        <v>12096.85</v>
      </c>
      <c r="G16" s="11">
        <f>D16-F16</f>
        <v>18934.199999999997</v>
      </c>
      <c r="H16" s="10">
        <f t="shared" si="1"/>
        <v>0.61016949152542366</v>
      </c>
    </row>
    <row r="17" spans="1:8" x14ac:dyDescent="0.2">
      <c r="A17" t="s">
        <v>30</v>
      </c>
      <c r="B17" s="4">
        <v>626</v>
      </c>
      <c r="C17" s="11">
        <v>60.72</v>
      </c>
      <c r="D17" s="11">
        <f>B17*C17</f>
        <v>38010.720000000001</v>
      </c>
      <c r="E17" s="11">
        <v>22.47</v>
      </c>
      <c r="F17" s="11">
        <f>B17*E17</f>
        <v>14066.22</v>
      </c>
      <c r="G17" s="11">
        <f>D17-F17</f>
        <v>23944.5</v>
      </c>
      <c r="H17" s="10">
        <f t="shared" si="1"/>
        <v>0.62994071146245056</v>
      </c>
    </row>
    <row r="18" spans="1:8" x14ac:dyDescent="0.2">
      <c r="A18" t="s">
        <v>130</v>
      </c>
      <c r="B18" s="4">
        <f>SUM(B13:B17)</f>
        <v>6120</v>
      </c>
      <c r="C18" s="11"/>
      <c r="D18" s="11">
        <f>SUM(D13:D17)</f>
        <v>274216.86</v>
      </c>
      <c r="E18" s="11"/>
      <c r="F18" s="11">
        <f>SUM(F13:F17)</f>
        <v>104757.86</v>
      </c>
      <c r="G18" s="11">
        <f>SUM(G13:G17)</f>
        <v>169459</v>
      </c>
      <c r="H18" s="10">
        <f t="shared" si="1"/>
        <v>0.61797440171986506</v>
      </c>
    </row>
    <row r="20" spans="1:8" ht="17" thickBot="1" x14ac:dyDescent="0.25"/>
    <row r="21" spans="1:8" ht="17" thickBot="1" x14ac:dyDescent="0.25">
      <c r="A21" s="51" t="s">
        <v>144</v>
      </c>
    </row>
    <row r="22" spans="1:8" x14ac:dyDescent="0.2">
      <c r="A22" t="s">
        <v>86</v>
      </c>
      <c r="B22" t="s">
        <v>133</v>
      </c>
      <c r="C22" t="s">
        <v>140</v>
      </c>
      <c r="D22" t="s">
        <v>145</v>
      </c>
      <c r="E22" t="s">
        <v>146</v>
      </c>
    </row>
    <row r="23" spans="1:8" x14ac:dyDescent="0.2">
      <c r="A23" t="s">
        <v>69</v>
      </c>
      <c r="B23" s="11">
        <f>D8</f>
        <v>204493.45</v>
      </c>
      <c r="C23" s="11">
        <f>D18</f>
        <v>274216.86</v>
      </c>
      <c r="D23" s="11">
        <f>C23-B23</f>
        <v>69723.409999999974</v>
      </c>
      <c r="E23">
        <f>D23/B23</f>
        <v>0.34095669078887353</v>
      </c>
    </row>
    <row r="24" spans="1:8" x14ac:dyDescent="0.2">
      <c r="A24" t="s">
        <v>65</v>
      </c>
      <c r="B24" s="11">
        <f>F8</f>
        <v>89284.33</v>
      </c>
      <c r="C24" s="11">
        <f>F18</f>
        <v>104757.86</v>
      </c>
      <c r="D24" s="11">
        <f>C24-B24</f>
        <v>15473.529999999999</v>
      </c>
      <c r="E24">
        <f>D24/B24</f>
        <v>0.17330622293968043</v>
      </c>
    </row>
    <row r="25" spans="1:8" x14ac:dyDescent="0.2">
      <c r="A25" t="s">
        <v>135</v>
      </c>
      <c r="B25" s="11">
        <f>G8</f>
        <v>115209.11999999998</v>
      </c>
      <c r="C25" s="11">
        <f>G18</f>
        <v>169459</v>
      </c>
      <c r="D25" s="11">
        <f>C25-B25</f>
        <v>54249.880000000019</v>
      </c>
      <c r="E25">
        <f>D25/B25</f>
        <v>0.47088181907821208</v>
      </c>
    </row>
    <row r="26" spans="1:8" x14ac:dyDescent="0.2">
      <c r="A26" t="s">
        <v>175</v>
      </c>
      <c r="B26" s="10">
        <f>G8/D8</f>
        <v>0.56338782489121275</v>
      </c>
      <c r="C26" s="10">
        <f>G18/D18</f>
        <v>0.61797440171986506</v>
      </c>
      <c r="D26" s="11">
        <f>C26-B26</f>
        <v>5.4586576828652311E-2</v>
      </c>
    </row>
  </sheetData>
  <mergeCells count="1">
    <mergeCell ref="A11:B11"/>
  </mergeCells>
  <pageMargins left="0.7" right="0.7" top="0.75" bottom="0.75" header="0.3" footer="0.3"/>
  <drawing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603F2-EFCD-354D-8FB6-49A05052500C}">
  <sheetPr codeName="Sheet8" filterMode="1"/>
  <dimension ref="A1:N164"/>
  <sheetViews>
    <sheetView zoomScale="75" zoomScaleNormal="68" workbookViewId="0">
      <selection activeCell="B4" sqref="B4"/>
    </sheetView>
  </sheetViews>
  <sheetFormatPr baseColWidth="10" defaultColWidth="14" defaultRowHeight="16" x14ac:dyDescent="0.2"/>
  <cols>
    <col min="6" max="8" width="14" style="4"/>
  </cols>
  <sheetData>
    <row r="1" spans="1:14" x14ac:dyDescent="0.2">
      <c r="A1" s="1" t="s">
        <v>0</v>
      </c>
      <c r="B1" s="1" t="s">
        <v>1</v>
      </c>
      <c r="C1" s="1" t="s">
        <v>2</v>
      </c>
      <c r="D1" s="1" t="s">
        <v>3</v>
      </c>
      <c r="E1" s="1" t="s">
        <v>4</v>
      </c>
      <c r="F1" s="5" t="s">
        <v>5</v>
      </c>
      <c r="G1" s="5" t="s">
        <v>6</v>
      </c>
      <c r="H1" s="5" t="s">
        <v>7</v>
      </c>
      <c r="I1" s="1" t="s">
        <v>8</v>
      </c>
      <c r="J1" s="1" t="s">
        <v>42</v>
      </c>
      <c r="K1" s="1" t="s">
        <v>64</v>
      </c>
      <c r="L1" t="s">
        <v>65</v>
      </c>
      <c r="M1" t="s">
        <v>66</v>
      </c>
      <c r="N1" t="s">
        <v>122</v>
      </c>
    </row>
    <row r="2" spans="1:14" x14ac:dyDescent="0.2">
      <c r="A2" s="2">
        <v>44760</v>
      </c>
      <c r="B2" t="s">
        <v>15</v>
      </c>
      <c r="C2" t="s">
        <v>29</v>
      </c>
      <c r="D2" t="s">
        <v>20</v>
      </c>
      <c r="E2" t="s">
        <v>12</v>
      </c>
      <c r="F2" s="4">
        <v>60</v>
      </c>
      <c r="G2" s="4">
        <v>40</v>
      </c>
      <c r="H2" s="4">
        <v>18</v>
      </c>
      <c r="I2" t="s">
        <v>22</v>
      </c>
      <c r="J2" t="s">
        <v>14</v>
      </c>
      <c r="K2">
        <f t="shared" ref="K2:K33" si="0">F2*G2</f>
        <v>2400</v>
      </c>
      <c r="L2">
        <f t="shared" ref="L2:L33" si="1">F2*H2</f>
        <v>1080</v>
      </c>
      <c r="M2">
        <f t="shared" ref="M2:M33" si="2">K2-L2</f>
        <v>1320</v>
      </c>
      <c r="N2">
        <f t="shared" ref="N2:N33" si="3">YEAR(A2)</f>
        <v>2022</v>
      </c>
    </row>
    <row r="3" spans="1:14" x14ac:dyDescent="0.2">
      <c r="A3" s="2">
        <v>44778</v>
      </c>
      <c r="B3" t="s">
        <v>15</v>
      </c>
      <c r="C3" t="s">
        <v>29</v>
      </c>
      <c r="D3" t="s">
        <v>20</v>
      </c>
      <c r="E3" t="s">
        <v>16</v>
      </c>
      <c r="F3" s="4">
        <v>70</v>
      </c>
      <c r="G3" s="4">
        <v>40</v>
      </c>
      <c r="H3" s="4">
        <v>18</v>
      </c>
      <c r="I3" t="s">
        <v>22</v>
      </c>
      <c r="J3" t="s">
        <v>14</v>
      </c>
      <c r="K3">
        <f t="shared" si="0"/>
        <v>2800</v>
      </c>
      <c r="L3">
        <f t="shared" si="1"/>
        <v>1260</v>
      </c>
      <c r="M3">
        <f t="shared" si="2"/>
        <v>1540</v>
      </c>
      <c r="N3">
        <f t="shared" si="3"/>
        <v>2022</v>
      </c>
    </row>
    <row r="4" spans="1:14" x14ac:dyDescent="0.2">
      <c r="A4" s="2">
        <v>44805</v>
      </c>
      <c r="B4" t="s">
        <v>15</v>
      </c>
      <c r="C4" t="s">
        <v>29</v>
      </c>
      <c r="D4" t="s">
        <v>20</v>
      </c>
      <c r="E4" t="s">
        <v>16</v>
      </c>
      <c r="F4" s="4">
        <v>68</v>
      </c>
      <c r="G4" s="4">
        <v>40</v>
      </c>
      <c r="H4" s="4">
        <v>18</v>
      </c>
      <c r="I4" t="s">
        <v>22</v>
      </c>
      <c r="J4" t="s">
        <v>14</v>
      </c>
      <c r="K4">
        <f t="shared" si="0"/>
        <v>2720</v>
      </c>
      <c r="L4">
        <f t="shared" si="1"/>
        <v>1224</v>
      </c>
      <c r="M4">
        <f t="shared" si="2"/>
        <v>1496</v>
      </c>
      <c r="N4">
        <f t="shared" si="3"/>
        <v>2022</v>
      </c>
    </row>
    <row r="5" spans="1:14" hidden="1" x14ac:dyDescent="0.2">
      <c r="A5" s="2">
        <v>45125</v>
      </c>
      <c r="B5" t="s">
        <v>15</v>
      </c>
      <c r="C5" t="s">
        <v>29</v>
      </c>
      <c r="D5" t="s">
        <v>20</v>
      </c>
      <c r="E5" t="s">
        <v>12</v>
      </c>
      <c r="F5" s="4">
        <v>62</v>
      </c>
      <c r="G5" s="4">
        <v>40</v>
      </c>
      <c r="H5" s="4">
        <v>19</v>
      </c>
      <c r="I5" t="s">
        <v>22</v>
      </c>
      <c r="J5" t="s">
        <v>14</v>
      </c>
      <c r="K5">
        <f t="shared" si="0"/>
        <v>2480</v>
      </c>
      <c r="L5">
        <f t="shared" si="1"/>
        <v>1178</v>
      </c>
      <c r="M5">
        <f t="shared" si="2"/>
        <v>1302</v>
      </c>
      <c r="N5">
        <f t="shared" si="3"/>
        <v>2023</v>
      </c>
    </row>
    <row r="6" spans="1:14" hidden="1" x14ac:dyDescent="0.2">
      <c r="A6" s="2">
        <v>45143</v>
      </c>
      <c r="B6" t="s">
        <v>15</v>
      </c>
      <c r="C6" t="s">
        <v>29</v>
      </c>
      <c r="D6" t="s">
        <v>20</v>
      </c>
      <c r="E6" t="s">
        <v>16</v>
      </c>
      <c r="F6" s="4">
        <v>72</v>
      </c>
      <c r="G6" s="4">
        <v>42</v>
      </c>
      <c r="H6" s="4">
        <v>19</v>
      </c>
      <c r="I6" t="s">
        <v>22</v>
      </c>
      <c r="J6" t="s">
        <v>14</v>
      </c>
      <c r="K6">
        <f t="shared" si="0"/>
        <v>3024</v>
      </c>
      <c r="L6">
        <f t="shared" si="1"/>
        <v>1368</v>
      </c>
      <c r="M6">
        <f t="shared" si="2"/>
        <v>1656</v>
      </c>
      <c r="N6">
        <f t="shared" si="3"/>
        <v>2023</v>
      </c>
    </row>
    <row r="7" spans="1:14" hidden="1" x14ac:dyDescent="0.2">
      <c r="A7" s="2">
        <v>45170</v>
      </c>
      <c r="B7" t="s">
        <v>15</v>
      </c>
      <c r="C7" t="s">
        <v>29</v>
      </c>
      <c r="D7" t="s">
        <v>20</v>
      </c>
      <c r="E7" t="s">
        <v>16</v>
      </c>
      <c r="F7" s="4">
        <v>70</v>
      </c>
      <c r="G7" s="4">
        <v>42</v>
      </c>
      <c r="H7" s="4">
        <v>19</v>
      </c>
      <c r="I7" t="s">
        <v>22</v>
      </c>
      <c r="J7" t="s">
        <v>14</v>
      </c>
      <c r="K7">
        <f t="shared" si="0"/>
        <v>2940</v>
      </c>
      <c r="L7">
        <f t="shared" si="1"/>
        <v>1330</v>
      </c>
      <c r="M7">
        <f t="shared" si="2"/>
        <v>1610</v>
      </c>
      <c r="N7">
        <f t="shared" si="3"/>
        <v>2023</v>
      </c>
    </row>
    <row r="8" spans="1:14" x14ac:dyDescent="0.2">
      <c r="A8" s="2">
        <v>44747</v>
      </c>
      <c r="B8" t="s">
        <v>15</v>
      </c>
      <c r="C8" t="s">
        <v>28</v>
      </c>
      <c r="D8" t="s">
        <v>20</v>
      </c>
      <c r="E8" t="s">
        <v>16</v>
      </c>
      <c r="F8" s="4">
        <v>65</v>
      </c>
      <c r="G8" s="4">
        <v>40</v>
      </c>
      <c r="H8" s="4">
        <v>18</v>
      </c>
      <c r="I8" t="s">
        <v>21</v>
      </c>
      <c r="J8" t="s">
        <v>14</v>
      </c>
      <c r="K8">
        <f t="shared" si="0"/>
        <v>2600</v>
      </c>
      <c r="L8">
        <f t="shared" si="1"/>
        <v>1170</v>
      </c>
      <c r="M8">
        <f t="shared" si="2"/>
        <v>1430</v>
      </c>
      <c r="N8">
        <f t="shared" si="3"/>
        <v>2022</v>
      </c>
    </row>
    <row r="9" spans="1:14" x14ac:dyDescent="0.2">
      <c r="A9" s="2">
        <v>44788</v>
      </c>
      <c r="B9" t="s">
        <v>15</v>
      </c>
      <c r="C9" t="s">
        <v>28</v>
      </c>
      <c r="D9" t="s">
        <v>20</v>
      </c>
      <c r="E9" t="s">
        <v>16</v>
      </c>
      <c r="F9" s="4">
        <v>80</v>
      </c>
      <c r="G9" s="4">
        <v>44</v>
      </c>
      <c r="H9" s="4">
        <v>18</v>
      </c>
      <c r="I9" t="s">
        <v>22</v>
      </c>
      <c r="J9" t="s">
        <v>19</v>
      </c>
      <c r="K9">
        <f t="shared" si="0"/>
        <v>3520</v>
      </c>
      <c r="L9">
        <f t="shared" si="1"/>
        <v>1440</v>
      </c>
      <c r="M9">
        <f t="shared" si="2"/>
        <v>2080</v>
      </c>
      <c r="N9">
        <f t="shared" si="3"/>
        <v>2022</v>
      </c>
    </row>
    <row r="10" spans="1:14" hidden="1" x14ac:dyDescent="0.2">
      <c r="A10" s="2">
        <v>45112</v>
      </c>
      <c r="B10" t="s">
        <v>15</v>
      </c>
      <c r="C10" t="s">
        <v>28</v>
      </c>
      <c r="D10" t="s">
        <v>20</v>
      </c>
      <c r="E10" t="s">
        <v>16</v>
      </c>
      <c r="F10" s="4">
        <v>68</v>
      </c>
      <c r="G10" s="4">
        <v>42</v>
      </c>
      <c r="H10" s="4">
        <v>19</v>
      </c>
      <c r="I10" t="s">
        <v>21</v>
      </c>
      <c r="J10" t="s">
        <v>14</v>
      </c>
      <c r="K10">
        <f t="shared" si="0"/>
        <v>2856</v>
      </c>
      <c r="L10">
        <f t="shared" si="1"/>
        <v>1292</v>
      </c>
      <c r="M10">
        <f t="shared" si="2"/>
        <v>1564</v>
      </c>
      <c r="N10">
        <f t="shared" si="3"/>
        <v>2023</v>
      </c>
    </row>
    <row r="11" spans="1:14" hidden="1" x14ac:dyDescent="0.2">
      <c r="A11" s="2">
        <v>45153</v>
      </c>
      <c r="B11" t="s">
        <v>15</v>
      </c>
      <c r="C11" t="s">
        <v>28</v>
      </c>
      <c r="D11" t="s">
        <v>20</v>
      </c>
      <c r="E11" t="s">
        <v>16</v>
      </c>
      <c r="F11" s="4">
        <v>85</v>
      </c>
      <c r="G11" s="4">
        <v>46</v>
      </c>
      <c r="H11" s="4">
        <v>19</v>
      </c>
      <c r="I11" t="s">
        <v>22</v>
      </c>
      <c r="J11" t="s">
        <v>19</v>
      </c>
      <c r="K11">
        <f t="shared" si="0"/>
        <v>3910</v>
      </c>
      <c r="L11">
        <f t="shared" si="1"/>
        <v>1615</v>
      </c>
      <c r="M11">
        <f t="shared" si="2"/>
        <v>2295</v>
      </c>
      <c r="N11">
        <f t="shared" si="3"/>
        <v>2023</v>
      </c>
    </row>
    <row r="12" spans="1:14" x14ac:dyDescent="0.2">
      <c r="A12" s="2">
        <v>44676</v>
      </c>
      <c r="B12" t="s">
        <v>15</v>
      </c>
      <c r="C12" t="s">
        <v>27</v>
      </c>
      <c r="D12" t="s">
        <v>11</v>
      </c>
      <c r="E12" t="s">
        <v>16</v>
      </c>
      <c r="F12" s="4">
        <v>90</v>
      </c>
      <c r="G12" s="4">
        <v>40</v>
      </c>
      <c r="H12" s="4">
        <v>18</v>
      </c>
      <c r="I12" t="s">
        <v>13</v>
      </c>
      <c r="J12" t="s">
        <v>14</v>
      </c>
      <c r="K12">
        <f t="shared" si="0"/>
        <v>3600</v>
      </c>
      <c r="L12">
        <f t="shared" si="1"/>
        <v>1620</v>
      </c>
      <c r="M12">
        <f t="shared" si="2"/>
        <v>1980</v>
      </c>
      <c r="N12">
        <f t="shared" si="3"/>
        <v>2022</v>
      </c>
    </row>
    <row r="13" spans="1:14" hidden="1" x14ac:dyDescent="0.2">
      <c r="A13" s="2">
        <v>45099</v>
      </c>
      <c r="B13" t="s">
        <v>15</v>
      </c>
      <c r="C13" t="s">
        <v>27</v>
      </c>
      <c r="D13" t="s">
        <v>11</v>
      </c>
      <c r="E13" t="s">
        <v>16</v>
      </c>
      <c r="F13" s="4">
        <v>120</v>
      </c>
      <c r="G13" s="4">
        <v>46</v>
      </c>
      <c r="H13" s="4">
        <v>19</v>
      </c>
      <c r="I13" t="s">
        <v>13</v>
      </c>
      <c r="J13" t="s">
        <v>14</v>
      </c>
      <c r="K13">
        <f t="shared" si="0"/>
        <v>5520</v>
      </c>
      <c r="L13">
        <f t="shared" si="1"/>
        <v>2280</v>
      </c>
      <c r="M13">
        <f t="shared" si="2"/>
        <v>3240</v>
      </c>
      <c r="N13">
        <f t="shared" si="3"/>
        <v>2023</v>
      </c>
    </row>
    <row r="14" spans="1:14" x14ac:dyDescent="0.2">
      <c r="A14" s="2">
        <v>44665</v>
      </c>
      <c r="B14" t="s">
        <v>15</v>
      </c>
      <c r="C14" t="s">
        <v>29</v>
      </c>
      <c r="D14" t="s">
        <v>11</v>
      </c>
      <c r="E14" t="s">
        <v>16</v>
      </c>
      <c r="F14" s="4">
        <v>95</v>
      </c>
      <c r="G14" s="4">
        <v>42</v>
      </c>
      <c r="H14" s="4">
        <v>18</v>
      </c>
      <c r="I14" t="s">
        <v>13</v>
      </c>
      <c r="J14" t="s">
        <v>19</v>
      </c>
      <c r="K14">
        <f t="shared" si="0"/>
        <v>3990</v>
      </c>
      <c r="L14">
        <f t="shared" si="1"/>
        <v>1710</v>
      </c>
      <c r="M14">
        <f t="shared" si="2"/>
        <v>2280</v>
      </c>
      <c r="N14">
        <f t="shared" si="3"/>
        <v>2022</v>
      </c>
    </row>
    <row r="15" spans="1:14" x14ac:dyDescent="0.2">
      <c r="A15" s="2">
        <v>44717</v>
      </c>
      <c r="B15" t="s">
        <v>15</v>
      </c>
      <c r="C15" t="s">
        <v>29</v>
      </c>
      <c r="D15" t="s">
        <v>11</v>
      </c>
      <c r="E15" t="s">
        <v>16</v>
      </c>
      <c r="F15" s="4">
        <v>110</v>
      </c>
      <c r="G15" s="4">
        <v>44</v>
      </c>
      <c r="H15" s="4">
        <v>18</v>
      </c>
      <c r="I15" t="s">
        <v>31</v>
      </c>
      <c r="J15" t="s">
        <v>14</v>
      </c>
      <c r="K15">
        <f t="shared" si="0"/>
        <v>4840</v>
      </c>
      <c r="L15">
        <f t="shared" si="1"/>
        <v>1980</v>
      </c>
      <c r="M15">
        <f t="shared" si="2"/>
        <v>2860</v>
      </c>
      <c r="N15">
        <f t="shared" si="3"/>
        <v>2022</v>
      </c>
    </row>
    <row r="16" spans="1:14" hidden="1" x14ac:dyDescent="0.2">
      <c r="A16" s="2">
        <v>45000</v>
      </c>
      <c r="B16" t="s">
        <v>15</v>
      </c>
      <c r="C16" t="s">
        <v>29</v>
      </c>
      <c r="D16" t="s">
        <v>11</v>
      </c>
      <c r="E16" t="s">
        <v>12</v>
      </c>
      <c r="F16" s="4">
        <v>58</v>
      </c>
      <c r="G16" s="4">
        <v>38</v>
      </c>
      <c r="H16" s="4">
        <v>18</v>
      </c>
      <c r="I16" t="s">
        <v>26</v>
      </c>
      <c r="J16" t="s">
        <v>14</v>
      </c>
      <c r="K16">
        <f t="shared" si="0"/>
        <v>2204</v>
      </c>
      <c r="L16">
        <f t="shared" si="1"/>
        <v>1044</v>
      </c>
      <c r="M16">
        <f t="shared" si="2"/>
        <v>1160</v>
      </c>
      <c r="N16">
        <f t="shared" si="3"/>
        <v>2023</v>
      </c>
    </row>
    <row r="17" spans="1:14" hidden="1" x14ac:dyDescent="0.2">
      <c r="A17" s="2">
        <v>45030</v>
      </c>
      <c r="B17" t="s">
        <v>15</v>
      </c>
      <c r="C17" t="s">
        <v>29</v>
      </c>
      <c r="D17" t="s">
        <v>11</v>
      </c>
      <c r="E17" t="s">
        <v>16</v>
      </c>
      <c r="F17" s="4">
        <v>100</v>
      </c>
      <c r="G17" s="4">
        <v>44</v>
      </c>
      <c r="H17" s="4">
        <v>19</v>
      </c>
      <c r="I17" t="s">
        <v>13</v>
      </c>
      <c r="J17" t="s">
        <v>19</v>
      </c>
      <c r="K17">
        <f t="shared" si="0"/>
        <v>4400</v>
      </c>
      <c r="L17">
        <f t="shared" si="1"/>
        <v>1900</v>
      </c>
      <c r="M17">
        <f t="shared" si="2"/>
        <v>2500</v>
      </c>
      <c r="N17">
        <f t="shared" si="3"/>
        <v>2023</v>
      </c>
    </row>
    <row r="18" spans="1:14" hidden="1" x14ac:dyDescent="0.2">
      <c r="A18" s="2">
        <v>45061</v>
      </c>
      <c r="B18" t="s">
        <v>15</v>
      </c>
      <c r="C18" t="s">
        <v>29</v>
      </c>
      <c r="D18" t="s">
        <v>11</v>
      </c>
      <c r="E18" t="s">
        <v>12</v>
      </c>
      <c r="F18" s="4">
        <v>90</v>
      </c>
      <c r="G18" s="4">
        <v>44</v>
      </c>
      <c r="H18" s="4">
        <v>19</v>
      </c>
      <c r="I18" t="s">
        <v>31</v>
      </c>
      <c r="J18" t="s">
        <v>14</v>
      </c>
      <c r="K18">
        <f t="shared" si="0"/>
        <v>3960</v>
      </c>
      <c r="L18">
        <f t="shared" si="1"/>
        <v>1710</v>
      </c>
      <c r="M18">
        <f t="shared" si="2"/>
        <v>2250</v>
      </c>
      <c r="N18">
        <f t="shared" si="3"/>
        <v>2023</v>
      </c>
    </row>
    <row r="19" spans="1:14" x14ac:dyDescent="0.2">
      <c r="A19" s="2">
        <v>44653</v>
      </c>
      <c r="B19" t="s">
        <v>15</v>
      </c>
      <c r="C19" t="s">
        <v>28</v>
      </c>
      <c r="D19" t="s">
        <v>11</v>
      </c>
      <c r="E19" t="s">
        <v>16</v>
      </c>
      <c r="F19" s="4">
        <v>65</v>
      </c>
      <c r="G19" s="4">
        <v>40</v>
      </c>
      <c r="H19" s="4">
        <v>18</v>
      </c>
      <c r="I19" t="s">
        <v>13</v>
      </c>
      <c r="J19" t="s">
        <v>14</v>
      </c>
      <c r="K19">
        <f t="shared" si="0"/>
        <v>2600</v>
      </c>
      <c r="L19">
        <f t="shared" si="1"/>
        <v>1170</v>
      </c>
      <c r="M19">
        <f t="shared" si="2"/>
        <v>1430</v>
      </c>
      <c r="N19">
        <f t="shared" si="3"/>
        <v>2022</v>
      </c>
    </row>
    <row r="20" spans="1:14" x14ac:dyDescent="0.2">
      <c r="A20" s="2">
        <v>44696</v>
      </c>
      <c r="B20" t="s">
        <v>15</v>
      </c>
      <c r="C20" t="s">
        <v>28</v>
      </c>
      <c r="D20" t="s">
        <v>11</v>
      </c>
      <c r="E20" t="s">
        <v>12</v>
      </c>
      <c r="F20" s="4">
        <v>85</v>
      </c>
      <c r="G20" s="4">
        <v>42</v>
      </c>
      <c r="H20" s="4">
        <v>18</v>
      </c>
      <c r="I20" t="s">
        <v>31</v>
      </c>
      <c r="J20" t="s">
        <v>14</v>
      </c>
      <c r="K20">
        <f t="shared" si="0"/>
        <v>3570</v>
      </c>
      <c r="L20">
        <f t="shared" si="1"/>
        <v>1530</v>
      </c>
      <c r="M20">
        <f t="shared" si="2"/>
        <v>2040</v>
      </c>
      <c r="N20">
        <f t="shared" si="3"/>
        <v>2022</v>
      </c>
    </row>
    <row r="21" spans="1:14" x14ac:dyDescent="0.2">
      <c r="A21" s="2">
        <v>44734</v>
      </c>
      <c r="B21" t="s">
        <v>15</v>
      </c>
      <c r="C21" t="s">
        <v>28</v>
      </c>
      <c r="D21" t="s">
        <v>11</v>
      </c>
      <c r="E21" t="s">
        <v>16</v>
      </c>
      <c r="F21" s="4">
        <v>115</v>
      </c>
      <c r="G21" s="4">
        <v>44</v>
      </c>
      <c r="H21" s="4">
        <v>18</v>
      </c>
      <c r="I21" t="s">
        <v>13</v>
      </c>
      <c r="J21" t="s">
        <v>14</v>
      </c>
      <c r="K21">
        <f t="shared" si="0"/>
        <v>5060</v>
      </c>
      <c r="L21">
        <f t="shared" si="1"/>
        <v>2070</v>
      </c>
      <c r="M21">
        <f t="shared" si="2"/>
        <v>2990</v>
      </c>
      <c r="N21">
        <f t="shared" si="3"/>
        <v>2022</v>
      </c>
    </row>
    <row r="22" spans="1:14" hidden="1" x14ac:dyDescent="0.2">
      <c r="A22" s="2">
        <v>45021</v>
      </c>
      <c r="B22" t="s">
        <v>15</v>
      </c>
      <c r="C22" t="s">
        <v>28</v>
      </c>
      <c r="D22" t="s">
        <v>11</v>
      </c>
      <c r="E22" t="s">
        <v>16</v>
      </c>
      <c r="F22" s="4">
        <v>72</v>
      </c>
      <c r="G22" s="4">
        <v>42</v>
      </c>
      <c r="H22" s="4">
        <v>19</v>
      </c>
      <c r="I22" t="s">
        <v>13</v>
      </c>
      <c r="J22" t="s">
        <v>14</v>
      </c>
      <c r="K22">
        <f t="shared" si="0"/>
        <v>3024</v>
      </c>
      <c r="L22">
        <f t="shared" si="1"/>
        <v>1368</v>
      </c>
      <c r="M22">
        <f t="shared" si="2"/>
        <v>1656</v>
      </c>
      <c r="N22">
        <f t="shared" si="3"/>
        <v>2023</v>
      </c>
    </row>
    <row r="23" spans="1:14" hidden="1" x14ac:dyDescent="0.2">
      <c r="A23" s="2">
        <v>45041</v>
      </c>
      <c r="B23" t="s">
        <v>15</v>
      </c>
      <c r="C23" t="s">
        <v>28</v>
      </c>
      <c r="D23" t="s">
        <v>11</v>
      </c>
      <c r="E23" t="s">
        <v>16</v>
      </c>
      <c r="F23" s="4">
        <v>95</v>
      </c>
      <c r="G23" s="4">
        <v>42</v>
      </c>
      <c r="H23" s="4">
        <v>19</v>
      </c>
      <c r="I23" t="s">
        <v>13</v>
      </c>
      <c r="J23" t="s">
        <v>14</v>
      </c>
      <c r="K23">
        <f t="shared" si="0"/>
        <v>3990</v>
      </c>
      <c r="L23">
        <f t="shared" si="1"/>
        <v>1805</v>
      </c>
      <c r="M23">
        <f t="shared" si="2"/>
        <v>2185</v>
      </c>
      <c r="N23">
        <f t="shared" si="3"/>
        <v>2023</v>
      </c>
    </row>
    <row r="24" spans="1:14" hidden="1" x14ac:dyDescent="0.2">
      <c r="A24" s="2">
        <v>45082</v>
      </c>
      <c r="B24" t="s">
        <v>15</v>
      </c>
      <c r="C24" t="s">
        <v>28</v>
      </c>
      <c r="D24" t="s">
        <v>11</v>
      </c>
      <c r="E24" t="s">
        <v>16</v>
      </c>
      <c r="F24" s="4">
        <v>115</v>
      </c>
      <c r="G24" s="4">
        <v>46</v>
      </c>
      <c r="H24" s="4">
        <v>19</v>
      </c>
      <c r="I24" t="s">
        <v>31</v>
      </c>
      <c r="J24" t="s">
        <v>14</v>
      </c>
      <c r="K24">
        <f t="shared" si="0"/>
        <v>5290</v>
      </c>
      <c r="L24">
        <f t="shared" si="1"/>
        <v>2185</v>
      </c>
      <c r="M24">
        <f t="shared" si="2"/>
        <v>3105</v>
      </c>
      <c r="N24">
        <f t="shared" si="3"/>
        <v>2023</v>
      </c>
    </row>
    <row r="25" spans="1:14" x14ac:dyDescent="0.2">
      <c r="A25" s="2">
        <v>44866</v>
      </c>
      <c r="B25" t="s">
        <v>15</v>
      </c>
      <c r="C25" t="s">
        <v>27</v>
      </c>
      <c r="D25" t="s">
        <v>23</v>
      </c>
      <c r="E25" t="s">
        <v>12</v>
      </c>
      <c r="F25" s="4">
        <v>42</v>
      </c>
      <c r="G25" s="4">
        <v>38</v>
      </c>
      <c r="H25" s="4">
        <v>18</v>
      </c>
      <c r="I25" t="s">
        <v>25</v>
      </c>
      <c r="J25" t="s">
        <v>14</v>
      </c>
      <c r="K25">
        <f t="shared" si="0"/>
        <v>1596</v>
      </c>
      <c r="L25">
        <f t="shared" si="1"/>
        <v>756</v>
      </c>
      <c r="M25">
        <f t="shared" si="2"/>
        <v>840</v>
      </c>
      <c r="N25">
        <f t="shared" si="3"/>
        <v>2022</v>
      </c>
    </row>
    <row r="26" spans="1:14" x14ac:dyDescent="0.2">
      <c r="A26" s="2">
        <v>44920</v>
      </c>
      <c r="B26" t="s">
        <v>15</v>
      </c>
      <c r="C26" t="s">
        <v>27</v>
      </c>
      <c r="D26" t="s">
        <v>23</v>
      </c>
      <c r="E26" t="s">
        <v>16</v>
      </c>
      <c r="F26" s="4">
        <v>88</v>
      </c>
      <c r="G26" s="4">
        <v>44</v>
      </c>
      <c r="H26" s="4">
        <v>18</v>
      </c>
      <c r="I26" t="s">
        <v>25</v>
      </c>
      <c r="J26" t="s">
        <v>19</v>
      </c>
      <c r="K26">
        <f t="shared" si="0"/>
        <v>3872</v>
      </c>
      <c r="L26">
        <f t="shared" si="1"/>
        <v>1584</v>
      </c>
      <c r="M26">
        <f t="shared" si="2"/>
        <v>2288</v>
      </c>
      <c r="N26">
        <f t="shared" si="3"/>
        <v>2022</v>
      </c>
    </row>
    <row r="27" spans="1:14" hidden="1" x14ac:dyDescent="0.2">
      <c r="A27" s="2">
        <v>44934</v>
      </c>
      <c r="B27" t="s">
        <v>15</v>
      </c>
      <c r="C27" t="s">
        <v>27</v>
      </c>
      <c r="D27" t="s">
        <v>23</v>
      </c>
      <c r="E27" t="s">
        <v>12</v>
      </c>
      <c r="F27" s="4">
        <v>38</v>
      </c>
      <c r="G27" s="4">
        <v>38</v>
      </c>
      <c r="H27" s="4">
        <v>18</v>
      </c>
      <c r="I27" t="s">
        <v>32</v>
      </c>
      <c r="J27" t="s">
        <v>14</v>
      </c>
      <c r="K27">
        <f t="shared" si="0"/>
        <v>1444</v>
      </c>
      <c r="L27">
        <f t="shared" si="1"/>
        <v>684</v>
      </c>
      <c r="M27">
        <f t="shared" si="2"/>
        <v>760</v>
      </c>
      <c r="N27">
        <f t="shared" si="3"/>
        <v>2023</v>
      </c>
    </row>
    <row r="28" spans="1:14" hidden="1" x14ac:dyDescent="0.2">
      <c r="A28" s="2">
        <v>45231</v>
      </c>
      <c r="B28" t="s">
        <v>15</v>
      </c>
      <c r="C28" t="s">
        <v>27</v>
      </c>
      <c r="D28" t="s">
        <v>23</v>
      </c>
      <c r="E28" t="s">
        <v>12</v>
      </c>
      <c r="F28" s="4">
        <v>45</v>
      </c>
      <c r="G28" s="4">
        <v>40</v>
      </c>
      <c r="H28" s="4">
        <v>19</v>
      </c>
      <c r="I28" t="s">
        <v>25</v>
      </c>
      <c r="J28" t="s">
        <v>14</v>
      </c>
      <c r="K28">
        <f t="shared" si="0"/>
        <v>1800</v>
      </c>
      <c r="L28">
        <f t="shared" si="1"/>
        <v>855</v>
      </c>
      <c r="M28">
        <f t="shared" si="2"/>
        <v>945</v>
      </c>
      <c r="N28">
        <f t="shared" si="3"/>
        <v>2023</v>
      </c>
    </row>
    <row r="29" spans="1:14" hidden="1" x14ac:dyDescent="0.2">
      <c r="A29" s="2">
        <v>45285</v>
      </c>
      <c r="B29" t="s">
        <v>15</v>
      </c>
      <c r="C29" t="s">
        <v>27</v>
      </c>
      <c r="D29" t="s">
        <v>23</v>
      </c>
      <c r="E29" t="s">
        <v>16</v>
      </c>
      <c r="F29" s="4">
        <v>92</v>
      </c>
      <c r="G29" s="4">
        <v>46</v>
      </c>
      <c r="H29" s="4">
        <v>19</v>
      </c>
      <c r="I29" t="s">
        <v>25</v>
      </c>
      <c r="J29" t="s">
        <v>19</v>
      </c>
      <c r="K29">
        <f t="shared" si="0"/>
        <v>4232</v>
      </c>
      <c r="L29">
        <f t="shared" si="1"/>
        <v>1748</v>
      </c>
      <c r="M29">
        <f t="shared" si="2"/>
        <v>2484</v>
      </c>
      <c r="N29">
        <f t="shared" si="3"/>
        <v>2023</v>
      </c>
    </row>
    <row r="30" spans="1:14" x14ac:dyDescent="0.2">
      <c r="A30" s="2">
        <v>44854</v>
      </c>
      <c r="B30" t="s">
        <v>15</v>
      </c>
      <c r="C30" t="s">
        <v>29</v>
      </c>
      <c r="D30" t="s">
        <v>23</v>
      </c>
      <c r="E30" t="s">
        <v>16</v>
      </c>
      <c r="F30" s="4">
        <v>75</v>
      </c>
      <c r="G30" s="4">
        <v>42</v>
      </c>
      <c r="H30" s="4">
        <v>18</v>
      </c>
      <c r="I30" t="s">
        <v>24</v>
      </c>
      <c r="J30" t="s">
        <v>19</v>
      </c>
      <c r="K30">
        <f t="shared" si="0"/>
        <v>3150</v>
      </c>
      <c r="L30">
        <f t="shared" si="1"/>
        <v>1350</v>
      </c>
      <c r="M30">
        <f t="shared" si="2"/>
        <v>1800</v>
      </c>
      <c r="N30">
        <f t="shared" si="3"/>
        <v>2022</v>
      </c>
    </row>
    <row r="31" spans="1:14" hidden="1" x14ac:dyDescent="0.2">
      <c r="A31" s="2">
        <v>45219</v>
      </c>
      <c r="B31" t="s">
        <v>15</v>
      </c>
      <c r="C31" t="s">
        <v>29</v>
      </c>
      <c r="D31" t="s">
        <v>23</v>
      </c>
      <c r="E31" t="s">
        <v>16</v>
      </c>
      <c r="F31" s="4">
        <v>80</v>
      </c>
      <c r="G31" s="4">
        <v>44</v>
      </c>
      <c r="H31" s="4">
        <v>19</v>
      </c>
      <c r="I31" t="s">
        <v>24</v>
      </c>
      <c r="J31" t="s">
        <v>19</v>
      </c>
      <c r="K31">
        <f t="shared" si="0"/>
        <v>3520</v>
      </c>
      <c r="L31">
        <f t="shared" si="1"/>
        <v>1520</v>
      </c>
      <c r="M31">
        <f t="shared" si="2"/>
        <v>2000</v>
      </c>
      <c r="N31">
        <f t="shared" si="3"/>
        <v>2023</v>
      </c>
    </row>
    <row r="32" spans="1:14" x14ac:dyDescent="0.2">
      <c r="A32" s="2">
        <v>44839</v>
      </c>
      <c r="B32" t="s">
        <v>15</v>
      </c>
      <c r="C32" t="s">
        <v>28</v>
      </c>
      <c r="D32" t="s">
        <v>23</v>
      </c>
      <c r="E32" t="s">
        <v>16</v>
      </c>
      <c r="F32" s="4">
        <v>55</v>
      </c>
      <c r="G32" s="4">
        <v>38</v>
      </c>
      <c r="H32" s="4">
        <v>18</v>
      </c>
      <c r="I32" t="s">
        <v>24</v>
      </c>
      <c r="J32" t="s">
        <v>14</v>
      </c>
      <c r="K32">
        <f t="shared" si="0"/>
        <v>2090</v>
      </c>
      <c r="L32">
        <f t="shared" si="1"/>
        <v>990</v>
      </c>
      <c r="M32">
        <f t="shared" si="2"/>
        <v>1100</v>
      </c>
      <c r="N32">
        <f t="shared" si="3"/>
        <v>2022</v>
      </c>
    </row>
    <row r="33" spans="1:14" x14ac:dyDescent="0.2">
      <c r="A33" s="2">
        <v>44896</v>
      </c>
      <c r="B33" t="s">
        <v>15</v>
      </c>
      <c r="C33" t="s">
        <v>28</v>
      </c>
      <c r="D33" t="s">
        <v>23</v>
      </c>
      <c r="E33" t="s">
        <v>12</v>
      </c>
      <c r="F33" s="4">
        <v>40</v>
      </c>
      <c r="G33" s="4">
        <v>38</v>
      </c>
      <c r="H33" s="4">
        <v>18</v>
      </c>
      <c r="I33" t="s">
        <v>25</v>
      </c>
      <c r="J33" t="s">
        <v>14</v>
      </c>
      <c r="K33">
        <f t="shared" si="0"/>
        <v>1520</v>
      </c>
      <c r="L33">
        <f t="shared" si="1"/>
        <v>720</v>
      </c>
      <c r="M33">
        <f t="shared" si="2"/>
        <v>800</v>
      </c>
      <c r="N33">
        <f t="shared" si="3"/>
        <v>2022</v>
      </c>
    </row>
    <row r="34" spans="1:14" hidden="1" x14ac:dyDescent="0.2">
      <c r="A34" s="2">
        <v>44952</v>
      </c>
      <c r="B34" t="s">
        <v>15</v>
      </c>
      <c r="C34" t="s">
        <v>28</v>
      </c>
      <c r="D34" t="s">
        <v>23</v>
      </c>
      <c r="E34" t="s">
        <v>16</v>
      </c>
      <c r="F34" s="4">
        <v>65</v>
      </c>
      <c r="G34" s="4">
        <v>40</v>
      </c>
      <c r="H34" s="4">
        <v>18</v>
      </c>
      <c r="I34" t="s">
        <v>25</v>
      </c>
      <c r="J34" t="s">
        <v>19</v>
      </c>
      <c r="K34">
        <f t="shared" ref="K34:K65" si="4">F34*G34</f>
        <v>2600</v>
      </c>
      <c r="L34">
        <f t="shared" ref="L34:L65" si="5">F34*H34</f>
        <v>1170</v>
      </c>
      <c r="M34">
        <f t="shared" ref="M34:M65" si="6">K34-L34</f>
        <v>1430</v>
      </c>
      <c r="N34">
        <f t="shared" ref="N34:N65" si="7">YEAR(A34)</f>
        <v>2023</v>
      </c>
    </row>
    <row r="35" spans="1:14" hidden="1" x14ac:dyDescent="0.2">
      <c r="A35" s="2">
        <v>44967</v>
      </c>
      <c r="B35" t="s">
        <v>15</v>
      </c>
      <c r="C35" t="s">
        <v>28</v>
      </c>
      <c r="D35" t="s">
        <v>23</v>
      </c>
      <c r="E35" t="s">
        <v>16</v>
      </c>
      <c r="F35" s="4">
        <v>48</v>
      </c>
      <c r="G35" s="4">
        <v>38</v>
      </c>
      <c r="H35" s="4">
        <v>18</v>
      </c>
      <c r="I35" t="s">
        <v>24</v>
      </c>
      <c r="J35" t="s">
        <v>14</v>
      </c>
      <c r="K35">
        <f t="shared" si="4"/>
        <v>1824</v>
      </c>
      <c r="L35">
        <f t="shared" si="5"/>
        <v>864</v>
      </c>
      <c r="M35">
        <f t="shared" si="6"/>
        <v>960</v>
      </c>
      <c r="N35">
        <f t="shared" si="7"/>
        <v>2023</v>
      </c>
    </row>
    <row r="36" spans="1:14" hidden="1" x14ac:dyDescent="0.2">
      <c r="A36" s="2">
        <v>45204</v>
      </c>
      <c r="B36" t="s">
        <v>15</v>
      </c>
      <c r="C36" t="s">
        <v>28</v>
      </c>
      <c r="D36" t="s">
        <v>23</v>
      </c>
      <c r="E36" t="s">
        <v>16</v>
      </c>
      <c r="F36" s="4">
        <v>58</v>
      </c>
      <c r="G36" s="4">
        <v>40</v>
      </c>
      <c r="H36" s="4">
        <v>19</v>
      </c>
      <c r="I36" t="s">
        <v>24</v>
      </c>
      <c r="J36" t="s">
        <v>14</v>
      </c>
      <c r="K36">
        <f t="shared" si="4"/>
        <v>2320</v>
      </c>
      <c r="L36">
        <f t="shared" si="5"/>
        <v>1102</v>
      </c>
      <c r="M36">
        <f t="shared" si="6"/>
        <v>1218</v>
      </c>
      <c r="N36">
        <f t="shared" si="7"/>
        <v>2023</v>
      </c>
    </row>
    <row r="37" spans="1:14" hidden="1" x14ac:dyDescent="0.2">
      <c r="A37" s="2">
        <v>45261</v>
      </c>
      <c r="B37" t="s">
        <v>15</v>
      </c>
      <c r="C37" t="s">
        <v>28</v>
      </c>
      <c r="D37" t="s">
        <v>23</v>
      </c>
      <c r="E37" t="s">
        <v>12</v>
      </c>
      <c r="F37" s="4">
        <v>42</v>
      </c>
      <c r="G37" s="4">
        <v>40</v>
      </c>
      <c r="H37" s="4">
        <v>19</v>
      </c>
      <c r="I37" t="s">
        <v>25</v>
      </c>
      <c r="J37" t="s">
        <v>14</v>
      </c>
      <c r="K37">
        <f t="shared" si="4"/>
        <v>1680</v>
      </c>
      <c r="L37">
        <f t="shared" si="5"/>
        <v>798</v>
      </c>
      <c r="M37">
        <f t="shared" si="6"/>
        <v>882</v>
      </c>
      <c r="N37">
        <f t="shared" si="7"/>
        <v>2023</v>
      </c>
    </row>
    <row r="38" spans="1:14" x14ac:dyDescent="0.2">
      <c r="A38" s="2">
        <v>44764</v>
      </c>
      <c r="B38" t="s">
        <v>30</v>
      </c>
      <c r="C38" t="s">
        <v>27</v>
      </c>
      <c r="D38" t="s">
        <v>20</v>
      </c>
      <c r="E38" t="s">
        <v>16</v>
      </c>
      <c r="F38" s="4">
        <v>35</v>
      </c>
      <c r="G38" s="4">
        <v>55</v>
      </c>
      <c r="H38" s="4">
        <v>22</v>
      </c>
      <c r="I38" t="s">
        <v>22</v>
      </c>
      <c r="J38" t="s">
        <v>14</v>
      </c>
      <c r="K38">
        <f t="shared" si="4"/>
        <v>1925</v>
      </c>
      <c r="L38">
        <f t="shared" si="5"/>
        <v>770</v>
      </c>
      <c r="M38">
        <f t="shared" si="6"/>
        <v>1155</v>
      </c>
      <c r="N38">
        <f t="shared" si="7"/>
        <v>2022</v>
      </c>
    </row>
    <row r="39" spans="1:14" hidden="1" x14ac:dyDescent="0.2">
      <c r="A39" s="2">
        <v>45129</v>
      </c>
      <c r="B39" t="s">
        <v>30</v>
      </c>
      <c r="C39" t="s">
        <v>27</v>
      </c>
      <c r="D39" t="s">
        <v>20</v>
      </c>
      <c r="E39" t="s">
        <v>16</v>
      </c>
      <c r="F39" s="4">
        <v>38</v>
      </c>
      <c r="G39" s="4">
        <v>56</v>
      </c>
      <c r="H39" s="4">
        <v>23</v>
      </c>
      <c r="I39" t="s">
        <v>22</v>
      </c>
      <c r="J39" t="s">
        <v>14</v>
      </c>
      <c r="K39">
        <f t="shared" si="4"/>
        <v>2128</v>
      </c>
      <c r="L39">
        <f t="shared" si="5"/>
        <v>874</v>
      </c>
      <c r="M39">
        <f t="shared" si="6"/>
        <v>1254</v>
      </c>
      <c r="N39">
        <f t="shared" si="7"/>
        <v>2023</v>
      </c>
    </row>
    <row r="40" spans="1:14" x14ac:dyDescent="0.2">
      <c r="A40" s="2">
        <v>44788</v>
      </c>
      <c r="B40" t="s">
        <v>30</v>
      </c>
      <c r="C40" t="s">
        <v>29</v>
      </c>
      <c r="D40" t="s">
        <v>20</v>
      </c>
      <c r="E40" t="s">
        <v>16</v>
      </c>
      <c r="F40" s="4">
        <v>55</v>
      </c>
      <c r="G40" s="4">
        <v>60</v>
      </c>
      <c r="H40" s="4">
        <v>22</v>
      </c>
      <c r="I40" t="s">
        <v>22</v>
      </c>
      <c r="J40" t="s">
        <v>19</v>
      </c>
      <c r="K40">
        <f t="shared" si="4"/>
        <v>3300</v>
      </c>
      <c r="L40">
        <f t="shared" si="5"/>
        <v>1210</v>
      </c>
      <c r="M40">
        <f t="shared" si="6"/>
        <v>2090</v>
      </c>
      <c r="N40">
        <f t="shared" si="7"/>
        <v>2022</v>
      </c>
    </row>
    <row r="41" spans="1:14" hidden="1" x14ac:dyDescent="0.2">
      <c r="A41" s="2">
        <v>45153</v>
      </c>
      <c r="B41" t="s">
        <v>30</v>
      </c>
      <c r="C41" t="s">
        <v>29</v>
      </c>
      <c r="D41" t="s">
        <v>20</v>
      </c>
      <c r="E41" t="s">
        <v>16</v>
      </c>
      <c r="F41" s="4">
        <v>58</v>
      </c>
      <c r="G41" s="4">
        <v>62</v>
      </c>
      <c r="H41" s="4">
        <v>23</v>
      </c>
      <c r="I41" t="s">
        <v>22</v>
      </c>
      <c r="J41" t="s">
        <v>19</v>
      </c>
      <c r="K41">
        <f t="shared" si="4"/>
        <v>3596</v>
      </c>
      <c r="L41">
        <f t="shared" si="5"/>
        <v>1334</v>
      </c>
      <c r="M41">
        <f t="shared" si="6"/>
        <v>2262</v>
      </c>
      <c r="N41">
        <f t="shared" si="7"/>
        <v>2023</v>
      </c>
    </row>
    <row r="42" spans="1:14" x14ac:dyDescent="0.2">
      <c r="A42" s="2">
        <v>44706</v>
      </c>
      <c r="B42" t="s">
        <v>30</v>
      </c>
      <c r="C42" t="s">
        <v>27</v>
      </c>
      <c r="D42" t="s">
        <v>11</v>
      </c>
      <c r="E42" t="s">
        <v>16</v>
      </c>
      <c r="F42" s="4">
        <v>65</v>
      </c>
      <c r="G42" s="4">
        <v>60</v>
      </c>
      <c r="H42" s="4">
        <v>22</v>
      </c>
      <c r="I42" t="s">
        <v>31</v>
      </c>
      <c r="J42" t="s">
        <v>14</v>
      </c>
      <c r="K42">
        <f t="shared" si="4"/>
        <v>3900</v>
      </c>
      <c r="L42">
        <f t="shared" si="5"/>
        <v>1430</v>
      </c>
      <c r="M42">
        <f t="shared" si="6"/>
        <v>2470</v>
      </c>
      <c r="N42">
        <f t="shared" si="7"/>
        <v>2022</v>
      </c>
    </row>
    <row r="43" spans="1:14" hidden="1" x14ac:dyDescent="0.2">
      <c r="A43" s="2">
        <v>45071</v>
      </c>
      <c r="B43" t="s">
        <v>30</v>
      </c>
      <c r="C43" t="s">
        <v>27</v>
      </c>
      <c r="D43" t="s">
        <v>11</v>
      </c>
      <c r="E43" t="s">
        <v>16</v>
      </c>
      <c r="F43" s="4">
        <v>68</v>
      </c>
      <c r="G43" s="4">
        <v>64</v>
      </c>
      <c r="H43" s="4">
        <v>23</v>
      </c>
      <c r="I43" t="s">
        <v>31</v>
      </c>
      <c r="J43" t="s">
        <v>14</v>
      </c>
      <c r="K43">
        <f t="shared" si="4"/>
        <v>4352</v>
      </c>
      <c r="L43">
        <f t="shared" si="5"/>
        <v>1564</v>
      </c>
      <c r="M43">
        <f t="shared" si="6"/>
        <v>2788</v>
      </c>
      <c r="N43">
        <f t="shared" si="7"/>
        <v>2023</v>
      </c>
    </row>
    <row r="44" spans="1:14" x14ac:dyDescent="0.2">
      <c r="A44" s="2">
        <v>44727</v>
      </c>
      <c r="B44" t="s">
        <v>30</v>
      </c>
      <c r="C44" t="s">
        <v>29</v>
      </c>
      <c r="D44" t="s">
        <v>11</v>
      </c>
      <c r="E44" t="s">
        <v>12</v>
      </c>
      <c r="F44" s="4">
        <v>70</v>
      </c>
      <c r="G44" s="4">
        <v>62</v>
      </c>
      <c r="H44" s="4">
        <v>22</v>
      </c>
      <c r="I44" t="s">
        <v>13</v>
      </c>
      <c r="J44" t="s">
        <v>14</v>
      </c>
      <c r="K44">
        <f t="shared" si="4"/>
        <v>4340</v>
      </c>
      <c r="L44">
        <f t="shared" si="5"/>
        <v>1540</v>
      </c>
      <c r="M44">
        <f t="shared" si="6"/>
        <v>2800</v>
      </c>
      <c r="N44">
        <f t="shared" si="7"/>
        <v>2022</v>
      </c>
    </row>
    <row r="45" spans="1:14" hidden="1" x14ac:dyDescent="0.2">
      <c r="A45" s="2">
        <v>45051</v>
      </c>
      <c r="B45" t="s">
        <v>30</v>
      </c>
      <c r="C45" t="s">
        <v>29</v>
      </c>
      <c r="D45" t="s">
        <v>11</v>
      </c>
      <c r="E45" t="s">
        <v>16</v>
      </c>
      <c r="F45" s="4">
        <v>60</v>
      </c>
      <c r="G45" s="4">
        <v>62</v>
      </c>
      <c r="H45" s="4">
        <v>23</v>
      </c>
      <c r="I45" t="s">
        <v>13</v>
      </c>
      <c r="J45" t="s">
        <v>14</v>
      </c>
      <c r="K45">
        <f t="shared" si="4"/>
        <v>3720</v>
      </c>
      <c r="L45">
        <f t="shared" si="5"/>
        <v>1380</v>
      </c>
      <c r="M45">
        <f t="shared" si="6"/>
        <v>2340</v>
      </c>
      <c r="N45">
        <f t="shared" si="7"/>
        <v>2023</v>
      </c>
    </row>
    <row r="46" spans="1:14" hidden="1" x14ac:dyDescent="0.2">
      <c r="A46" s="2">
        <v>45092</v>
      </c>
      <c r="B46" t="s">
        <v>30</v>
      </c>
      <c r="C46" t="s">
        <v>29</v>
      </c>
      <c r="D46" t="s">
        <v>11</v>
      </c>
      <c r="E46" t="s">
        <v>12</v>
      </c>
      <c r="F46" s="4">
        <v>72</v>
      </c>
      <c r="G46" s="4">
        <v>65</v>
      </c>
      <c r="H46" s="4">
        <v>23</v>
      </c>
      <c r="I46" t="s">
        <v>13</v>
      </c>
      <c r="J46" t="s">
        <v>14</v>
      </c>
      <c r="K46">
        <f t="shared" si="4"/>
        <v>4680</v>
      </c>
      <c r="L46">
        <f t="shared" si="5"/>
        <v>1656</v>
      </c>
      <c r="M46">
        <f t="shared" si="6"/>
        <v>3024</v>
      </c>
      <c r="N46">
        <f t="shared" si="7"/>
        <v>2023</v>
      </c>
    </row>
    <row r="47" spans="1:14" x14ac:dyDescent="0.2">
      <c r="A47" s="2">
        <v>44661</v>
      </c>
      <c r="B47" t="s">
        <v>30</v>
      </c>
      <c r="C47" t="s">
        <v>28</v>
      </c>
      <c r="D47" t="s">
        <v>11</v>
      </c>
      <c r="E47" t="s">
        <v>12</v>
      </c>
      <c r="F47" s="4">
        <v>40</v>
      </c>
      <c r="G47" s="4">
        <v>55</v>
      </c>
      <c r="H47" s="4">
        <v>22</v>
      </c>
      <c r="I47" t="s">
        <v>13</v>
      </c>
      <c r="J47" t="s">
        <v>14</v>
      </c>
      <c r="K47">
        <f t="shared" si="4"/>
        <v>2200</v>
      </c>
      <c r="L47">
        <f t="shared" si="5"/>
        <v>880</v>
      </c>
      <c r="M47">
        <f t="shared" si="6"/>
        <v>1320</v>
      </c>
      <c r="N47">
        <f t="shared" si="7"/>
        <v>2022</v>
      </c>
    </row>
    <row r="48" spans="1:14" x14ac:dyDescent="0.2">
      <c r="A48" s="2">
        <v>44686</v>
      </c>
      <c r="B48" t="s">
        <v>30</v>
      </c>
      <c r="C48" t="s">
        <v>28</v>
      </c>
      <c r="D48" t="s">
        <v>11</v>
      </c>
      <c r="E48" t="s">
        <v>16</v>
      </c>
      <c r="F48" s="4">
        <v>55</v>
      </c>
      <c r="G48" s="4">
        <v>58</v>
      </c>
      <c r="H48" s="4">
        <v>22</v>
      </c>
      <c r="I48" t="s">
        <v>13</v>
      </c>
      <c r="J48" t="s">
        <v>14</v>
      </c>
      <c r="K48">
        <f t="shared" si="4"/>
        <v>3190</v>
      </c>
      <c r="L48">
        <f t="shared" si="5"/>
        <v>1210</v>
      </c>
      <c r="M48">
        <f t="shared" si="6"/>
        <v>1980</v>
      </c>
      <c r="N48">
        <f t="shared" si="7"/>
        <v>2022</v>
      </c>
    </row>
    <row r="49" spans="1:14" hidden="1" x14ac:dyDescent="0.2">
      <c r="A49" s="2">
        <v>45030</v>
      </c>
      <c r="B49" t="s">
        <v>30</v>
      </c>
      <c r="C49" t="s">
        <v>28</v>
      </c>
      <c r="D49" t="s">
        <v>11</v>
      </c>
      <c r="E49" t="s">
        <v>16</v>
      </c>
      <c r="F49" s="4">
        <v>75</v>
      </c>
      <c r="G49" s="4">
        <v>60</v>
      </c>
      <c r="H49" s="4">
        <v>23</v>
      </c>
      <c r="I49" t="s">
        <v>13</v>
      </c>
      <c r="J49" t="s">
        <v>19</v>
      </c>
      <c r="K49">
        <f t="shared" si="4"/>
        <v>4500</v>
      </c>
      <c r="L49">
        <f t="shared" si="5"/>
        <v>1725</v>
      </c>
      <c r="M49">
        <f t="shared" si="6"/>
        <v>2775</v>
      </c>
      <c r="N49">
        <f t="shared" si="7"/>
        <v>2023</v>
      </c>
    </row>
    <row r="50" spans="1:14" x14ac:dyDescent="0.2">
      <c r="A50" s="2">
        <v>44877</v>
      </c>
      <c r="B50" t="s">
        <v>30</v>
      </c>
      <c r="C50" t="s">
        <v>27</v>
      </c>
      <c r="D50" t="s">
        <v>23</v>
      </c>
      <c r="E50" t="s">
        <v>12</v>
      </c>
      <c r="F50" s="4">
        <v>28</v>
      </c>
      <c r="G50" s="4">
        <v>50</v>
      </c>
      <c r="H50" s="4">
        <v>22</v>
      </c>
      <c r="I50" t="s">
        <v>25</v>
      </c>
      <c r="J50" t="s">
        <v>14</v>
      </c>
      <c r="K50">
        <f t="shared" si="4"/>
        <v>1400</v>
      </c>
      <c r="L50">
        <f t="shared" si="5"/>
        <v>616</v>
      </c>
      <c r="M50">
        <f t="shared" si="6"/>
        <v>784</v>
      </c>
      <c r="N50">
        <f t="shared" si="7"/>
        <v>2022</v>
      </c>
    </row>
    <row r="51" spans="1:14" hidden="1" x14ac:dyDescent="0.2">
      <c r="A51" s="2">
        <v>45242</v>
      </c>
      <c r="B51" t="s">
        <v>30</v>
      </c>
      <c r="C51" t="s">
        <v>27</v>
      </c>
      <c r="D51" t="s">
        <v>23</v>
      </c>
      <c r="E51" t="s">
        <v>12</v>
      </c>
      <c r="F51" s="4">
        <v>30</v>
      </c>
      <c r="G51" s="4">
        <v>52</v>
      </c>
      <c r="H51" s="4">
        <v>23</v>
      </c>
      <c r="I51" t="s">
        <v>25</v>
      </c>
      <c r="J51" t="s">
        <v>14</v>
      </c>
      <c r="K51">
        <f t="shared" si="4"/>
        <v>1560</v>
      </c>
      <c r="L51">
        <f t="shared" si="5"/>
        <v>690</v>
      </c>
      <c r="M51">
        <f t="shared" si="6"/>
        <v>870</v>
      </c>
      <c r="N51">
        <f t="shared" si="7"/>
        <v>2023</v>
      </c>
    </row>
    <row r="52" spans="1:14" x14ac:dyDescent="0.2">
      <c r="A52" s="2">
        <v>44842</v>
      </c>
      <c r="B52" t="s">
        <v>30</v>
      </c>
      <c r="C52" t="s">
        <v>29</v>
      </c>
      <c r="D52" t="s">
        <v>23</v>
      </c>
      <c r="E52" t="s">
        <v>12</v>
      </c>
      <c r="F52" s="4">
        <v>30</v>
      </c>
      <c r="G52" s="4">
        <v>52</v>
      </c>
      <c r="H52" s="4">
        <v>22</v>
      </c>
      <c r="I52" t="s">
        <v>24</v>
      </c>
      <c r="J52" t="s">
        <v>14</v>
      </c>
      <c r="K52">
        <f t="shared" si="4"/>
        <v>1560</v>
      </c>
      <c r="L52">
        <f t="shared" si="5"/>
        <v>660</v>
      </c>
      <c r="M52">
        <f t="shared" si="6"/>
        <v>900</v>
      </c>
      <c r="N52">
        <f t="shared" si="7"/>
        <v>2022</v>
      </c>
    </row>
    <row r="53" spans="1:14" x14ac:dyDescent="0.2">
      <c r="A53" s="2">
        <v>44920</v>
      </c>
      <c r="B53" t="s">
        <v>30</v>
      </c>
      <c r="C53" t="s">
        <v>29</v>
      </c>
      <c r="D53" t="s">
        <v>23</v>
      </c>
      <c r="E53" t="s">
        <v>16</v>
      </c>
      <c r="F53" s="4">
        <v>50</v>
      </c>
      <c r="G53" s="4">
        <v>58</v>
      </c>
      <c r="H53" s="4">
        <v>22</v>
      </c>
      <c r="I53" t="s">
        <v>25</v>
      </c>
      <c r="J53" t="s">
        <v>19</v>
      </c>
      <c r="K53">
        <f t="shared" si="4"/>
        <v>2900</v>
      </c>
      <c r="L53">
        <f t="shared" si="5"/>
        <v>1100</v>
      </c>
      <c r="M53">
        <f t="shared" si="6"/>
        <v>1800</v>
      </c>
      <c r="N53">
        <f t="shared" si="7"/>
        <v>2022</v>
      </c>
    </row>
    <row r="54" spans="1:14" hidden="1" x14ac:dyDescent="0.2">
      <c r="A54" s="2">
        <v>44952</v>
      </c>
      <c r="B54" t="s">
        <v>30</v>
      </c>
      <c r="C54" t="s">
        <v>29</v>
      </c>
      <c r="D54" t="s">
        <v>23</v>
      </c>
      <c r="E54" t="s">
        <v>16</v>
      </c>
      <c r="F54" s="4">
        <v>42</v>
      </c>
      <c r="G54" s="4">
        <v>55</v>
      </c>
      <c r="H54" s="4">
        <v>22</v>
      </c>
      <c r="I54" t="s">
        <v>25</v>
      </c>
      <c r="J54" t="s">
        <v>19</v>
      </c>
      <c r="K54">
        <f t="shared" si="4"/>
        <v>2310</v>
      </c>
      <c r="L54">
        <f t="shared" si="5"/>
        <v>924</v>
      </c>
      <c r="M54">
        <f t="shared" si="6"/>
        <v>1386</v>
      </c>
      <c r="N54">
        <f t="shared" si="7"/>
        <v>2023</v>
      </c>
    </row>
    <row r="55" spans="1:14" hidden="1" x14ac:dyDescent="0.2">
      <c r="A55" s="2">
        <v>45207</v>
      </c>
      <c r="B55" t="s">
        <v>30</v>
      </c>
      <c r="C55" t="s">
        <v>29</v>
      </c>
      <c r="D55" t="s">
        <v>23</v>
      </c>
      <c r="E55" t="s">
        <v>12</v>
      </c>
      <c r="F55" s="4">
        <v>32</v>
      </c>
      <c r="G55" s="4">
        <v>54</v>
      </c>
      <c r="H55" s="4">
        <v>23</v>
      </c>
      <c r="I55" t="s">
        <v>24</v>
      </c>
      <c r="J55" t="s">
        <v>14</v>
      </c>
      <c r="K55">
        <f t="shared" si="4"/>
        <v>1728</v>
      </c>
      <c r="L55">
        <f t="shared" si="5"/>
        <v>736</v>
      </c>
      <c r="M55">
        <f t="shared" si="6"/>
        <v>992</v>
      </c>
      <c r="N55">
        <f t="shared" si="7"/>
        <v>2023</v>
      </c>
    </row>
    <row r="56" spans="1:14" hidden="1" x14ac:dyDescent="0.2">
      <c r="A56" s="2">
        <v>45285</v>
      </c>
      <c r="B56" t="s">
        <v>30</v>
      </c>
      <c r="C56" t="s">
        <v>29</v>
      </c>
      <c r="D56" t="s">
        <v>23</v>
      </c>
      <c r="E56" t="s">
        <v>16</v>
      </c>
      <c r="F56" s="4">
        <v>52</v>
      </c>
      <c r="G56" s="4">
        <v>60</v>
      </c>
      <c r="H56" s="4">
        <v>23</v>
      </c>
      <c r="I56" t="s">
        <v>25</v>
      </c>
      <c r="J56" t="s">
        <v>19</v>
      </c>
      <c r="K56">
        <f t="shared" si="4"/>
        <v>3120</v>
      </c>
      <c r="L56">
        <f t="shared" si="5"/>
        <v>1196</v>
      </c>
      <c r="M56">
        <f t="shared" si="6"/>
        <v>1924</v>
      </c>
      <c r="N56">
        <f t="shared" si="7"/>
        <v>2023</v>
      </c>
    </row>
    <row r="57" spans="1:14" x14ac:dyDescent="0.2">
      <c r="A57" s="2">
        <v>44743</v>
      </c>
      <c r="B57" t="s">
        <v>10</v>
      </c>
      <c r="C57" t="s">
        <v>27</v>
      </c>
      <c r="D57" t="s">
        <v>20</v>
      </c>
      <c r="E57" t="s">
        <v>12</v>
      </c>
      <c r="F57" s="4">
        <v>50</v>
      </c>
      <c r="G57" s="4">
        <v>38</v>
      </c>
      <c r="H57">
        <v>16</v>
      </c>
      <c r="I57" t="s">
        <v>21</v>
      </c>
      <c r="J57" t="s">
        <v>14</v>
      </c>
      <c r="K57">
        <f t="shared" si="4"/>
        <v>1900</v>
      </c>
      <c r="L57">
        <f t="shared" si="5"/>
        <v>800</v>
      </c>
      <c r="M57">
        <f t="shared" si="6"/>
        <v>1100</v>
      </c>
      <c r="N57">
        <f t="shared" si="7"/>
        <v>2022</v>
      </c>
    </row>
    <row r="58" spans="1:14" x14ac:dyDescent="0.2">
      <c r="A58" s="2">
        <v>44774</v>
      </c>
      <c r="B58" t="s">
        <v>10</v>
      </c>
      <c r="C58" t="s">
        <v>27</v>
      </c>
      <c r="D58" t="s">
        <v>20</v>
      </c>
      <c r="E58" t="s">
        <v>12</v>
      </c>
      <c r="F58" s="4">
        <v>48</v>
      </c>
      <c r="G58" s="4">
        <v>36</v>
      </c>
      <c r="H58" s="4">
        <v>16</v>
      </c>
      <c r="I58" t="s">
        <v>21</v>
      </c>
      <c r="J58" t="s">
        <v>14</v>
      </c>
      <c r="K58">
        <f t="shared" si="4"/>
        <v>1728</v>
      </c>
      <c r="L58">
        <f t="shared" si="5"/>
        <v>768</v>
      </c>
      <c r="M58">
        <f t="shared" si="6"/>
        <v>960</v>
      </c>
      <c r="N58">
        <f t="shared" si="7"/>
        <v>2022</v>
      </c>
    </row>
    <row r="59" spans="1:14" x14ac:dyDescent="0.2">
      <c r="A59" s="2">
        <v>44788</v>
      </c>
      <c r="B59" t="s">
        <v>10</v>
      </c>
      <c r="C59" t="s">
        <v>27</v>
      </c>
      <c r="D59" t="s">
        <v>20</v>
      </c>
      <c r="E59" t="s">
        <v>16</v>
      </c>
      <c r="F59" s="4">
        <v>90</v>
      </c>
      <c r="G59" s="4">
        <v>40</v>
      </c>
      <c r="H59" s="4">
        <v>16</v>
      </c>
      <c r="I59" t="s">
        <v>22</v>
      </c>
      <c r="J59" t="s">
        <v>19</v>
      </c>
      <c r="K59">
        <f t="shared" si="4"/>
        <v>3600</v>
      </c>
      <c r="L59">
        <f t="shared" si="5"/>
        <v>1440</v>
      </c>
      <c r="M59">
        <f t="shared" si="6"/>
        <v>2160</v>
      </c>
      <c r="N59">
        <f t="shared" si="7"/>
        <v>2022</v>
      </c>
    </row>
    <row r="60" spans="1:14" hidden="1" x14ac:dyDescent="0.2">
      <c r="A60" s="2">
        <v>45108</v>
      </c>
      <c r="B60" t="s">
        <v>10</v>
      </c>
      <c r="C60" t="s">
        <v>27</v>
      </c>
      <c r="D60" t="s">
        <v>20</v>
      </c>
      <c r="E60" t="s">
        <v>12</v>
      </c>
      <c r="F60" s="4">
        <v>52</v>
      </c>
      <c r="G60" s="4">
        <v>38</v>
      </c>
      <c r="H60" s="4">
        <v>17</v>
      </c>
      <c r="I60" t="s">
        <v>21</v>
      </c>
      <c r="J60" t="s">
        <v>14</v>
      </c>
      <c r="K60">
        <f t="shared" si="4"/>
        <v>1976</v>
      </c>
      <c r="L60">
        <f t="shared" si="5"/>
        <v>884</v>
      </c>
      <c r="M60">
        <f t="shared" si="6"/>
        <v>1092</v>
      </c>
      <c r="N60">
        <f t="shared" si="7"/>
        <v>2023</v>
      </c>
    </row>
    <row r="61" spans="1:14" hidden="1" x14ac:dyDescent="0.2">
      <c r="A61" s="2">
        <v>45139</v>
      </c>
      <c r="B61" t="s">
        <v>10</v>
      </c>
      <c r="C61" t="s">
        <v>27</v>
      </c>
      <c r="D61" t="s">
        <v>20</v>
      </c>
      <c r="E61" t="s">
        <v>12</v>
      </c>
      <c r="F61" s="4">
        <v>50</v>
      </c>
      <c r="G61" s="4">
        <v>36</v>
      </c>
      <c r="H61" s="4">
        <v>17</v>
      </c>
      <c r="I61" t="s">
        <v>21</v>
      </c>
      <c r="J61" t="s">
        <v>14</v>
      </c>
      <c r="K61">
        <f t="shared" si="4"/>
        <v>1800</v>
      </c>
      <c r="L61">
        <f t="shared" si="5"/>
        <v>850</v>
      </c>
      <c r="M61">
        <f t="shared" si="6"/>
        <v>950</v>
      </c>
      <c r="N61">
        <f t="shared" si="7"/>
        <v>2023</v>
      </c>
    </row>
    <row r="62" spans="1:14" hidden="1" x14ac:dyDescent="0.2">
      <c r="A62" s="2">
        <v>45153</v>
      </c>
      <c r="B62" t="s">
        <v>10</v>
      </c>
      <c r="C62" t="s">
        <v>27</v>
      </c>
      <c r="D62" t="s">
        <v>20</v>
      </c>
      <c r="E62" t="s">
        <v>16</v>
      </c>
      <c r="F62" s="4">
        <v>95</v>
      </c>
      <c r="G62" s="4">
        <v>42</v>
      </c>
      <c r="H62" s="4">
        <v>17</v>
      </c>
      <c r="I62" t="s">
        <v>22</v>
      </c>
      <c r="J62" t="s">
        <v>19</v>
      </c>
      <c r="K62">
        <f t="shared" si="4"/>
        <v>3990</v>
      </c>
      <c r="L62">
        <f t="shared" si="5"/>
        <v>1615</v>
      </c>
      <c r="M62">
        <f t="shared" si="6"/>
        <v>2375</v>
      </c>
      <c r="N62">
        <f t="shared" si="7"/>
        <v>2023</v>
      </c>
    </row>
    <row r="63" spans="1:14" x14ac:dyDescent="0.2">
      <c r="A63" s="2">
        <v>44757</v>
      </c>
      <c r="B63" t="s">
        <v>10</v>
      </c>
      <c r="C63" t="s">
        <v>28</v>
      </c>
      <c r="D63" t="s">
        <v>20</v>
      </c>
      <c r="E63" t="s">
        <v>12</v>
      </c>
      <c r="F63" s="4">
        <v>45</v>
      </c>
      <c r="G63" s="4">
        <v>36</v>
      </c>
      <c r="H63" s="4">
        <v>16</v>
      </c>
      <c r="I63" t="s">
        <v>21</v>
      </c>
      <c r="J63" t="s">
        <v>14</v>
      </c>
      <c r="K63">
        <f t="shared" si="4"/>
        <v>1620</v>
      </c>
      <c r="L63">
        <f t="shared" si="5"/>
        <v>720</v>
      </c>
      <c r="M63">
        <f t="shared" si="6"/>
        <v>900</v>
      </c>
      <c r="N63">
        <f t="shared" si="7"/>
        <v>2022</v>
      </c>
    </row>
    <row r="64" spans="1:14" x14ac:dyDescent="0.2">
      <c r="A64" s="2">
        <v>44798</v>
      </c>
      <c r="B64" t="s">
        <v>10</v>
      </c>
      <c r="C64" t="s">
        <v>28</v>
      </c>
      <c r="D64" t="s">
        <v>20</v>
      </c>
      <c r="E64" t="s">
        <v>12</v>
      </c>
      <c r="F64" s="4">
        <v>52</v>
      </c>
      <c r="G64" s="4">
        <v>36</v>
      </c>
      <c r="H64" s="4">
        <v>16</v>
      </c>
      <c r="I64" t="s">
        <v>22</v>
      </c>
      <c r="J64" t="s">
        <v>14</v>
      </c>
      <c r="K64">
        <f t="shared" si="4"/>
        <v>1872</v>
      </c>
      <c r="L64">
        <f t="shared" si="5"/>
        <v>832</v>
      </c>
      <c r="M64">
        <f t="shared" si="6"/>
        <v>1040</v>
      </c>
      <c r="N64">
        <f t="shared" si="7"/>
        <v>2022</v>
      </c>
    </row>
    <row r="65" spans="1:14" x14ac:dyDescent="0.2">
      <c r="A65" s="2">
        <v>44819</v>
      </c>
      <c r="B65" t="s">
        <v>10</v>
      </c>
      <c r="C65" t="s">
        <v>28</v>
      </c>
      <c r="D65" t="s">
        <v>20</v>
      </c>
      <c r="E65" t="s">
        <v>16</v>
      </c>
      <c r="F65" s="4">
        <v>60</v>
      </c>
      <c r="G65" s="4">
        <v>36</v>
      </c>
      <c r="H65" s="4">
        <v>16</v>
      </c>
      <c r="I65" t="s">
        <v>22</v>
      </c>
      <c r="J65" t="s">
        <v>14</v>
      </c>
      <c r="K65">
        <f t="shared" si="4"/>
        <v>2160</v>
      </c>
      <c r="L65">
        <f t="shared" si="5"/>
        <v>960</v>
      </c>
      <c r="M65">
        <f t="shared" si="6"/>
        <v>1200</v>
      </c>
      <c r="N65">
        <f t="shared" si="7"/>
        <v>2022</v>
      </c>
    </row>
    <row r="66" spans="1:14" hidden="1" x14ac:dyDescent="0.2">
      <c r="A66" s="2">
        <v>45122</v>
      </c>
      <c r="B66" t="s">
        <v>10</v>
      </c>
      <c r="C66" t="s">
        <v>28</v>
      </c>
      <c r="D66" t="s">
        <v>20</v>
      </c>
      <c r="E66" t="s">
        <v>12</v>
      </c>
      <c r="F66" s="4">
        <v>48</v>
      </c>
      <c r="G66" s="4">
        <v>36</v>
      </c>
      <c r="H66" s="4">
        <v>17</v>
      </c>
      <c r="I66" t="s">
        <v>21</v>
      </c>
      <c r="J66" t="s">
        <v>14</v>
      </c>
      <c r="K66">
        <f t="shared" ref="K66:K97" si="8">F66*G66</f>
        <v>1728</v>
      </c>
      <c r="L66">
        <f t="shared" ref="L66:L97" si="9">F66*H66</f>
        <v>816</v>
      </c>
      <c r="M66">
        <f t="shared" ref="M66:M97" si="10">K66-L66</f>
        <v>912</v>
      </c>
      <c r="N66">
        <f t="shared" ref="N66:N97" si="11">YEAR(A66)</f>
        <v>2023</v>
      </c>
    </row>
    <row r="67" spans="1:14" hidden="1" x14ac:dyDescent="0.2">
      <c r="A67" s="2">
        <v>45163</v>
      </c>
      <c r="B67" t="s">
        <v>10</v>
      </c>
      <c r="C67" t="s">
        <v>28</v>
      </c>
      <c r="D67" t="s">
        <v>20</v>
      </c>
      <c r="E67" t="s">
        <v>12</v>
      </c>
      <c r="F67" s="4">
        <v>55</v>
      </c>
      <c r="G67" s="4">
        <v>36</v>
      </c>
      <c r="H67" s="4">
        <v>17</v>
      </c>
      <c r="I67" t="s">
        <v>22</v>
      </c>
      <c r="J67" t="s">
        <v>14</v>
      </c>
      <c r="K67">
        <f t="shared" si="8"/>
        <v>1980</v>
      </c>
      <c r="L67">
        <f t="shared" si="9"/>
        <v>935</v>
      </c>
      <c r="M67">
        <f t="shared" si="10"/>
        <v>1045</v>
      </c>
      <c r="N67">
        <f t="shared" si="11"/>
        <v>2023</v>
      </c>
    </row>
    <row r="68" spans="1:14" hidden="1" x14ac:dyDescent="0.2">
      <c r="A68" s="2">
        <v>45184</v>
      </c>
      <c r="B68" t="s">
        <v>10</v>
      </c>
      <c r="C68" t="s">
        <v>28</v>
      </c>
      <c r="D68" t="s">
        <v>20</v>
      </c>
      <c r="E68" t="s">
        <v>16</v>
      </c>
      <c r="F68" s="4">
        <v>62</v>
      </c>
      <c r="G68" s="4">
        <v>36</v>
      </c>
      <c r="H68" s="4">
        <v>17</v>
      </c>
      <c r="I68" t="s">
        <v>22</v>
      </c>
      <c r="J68" t="s">
        <v>14</v>
      </c>
      <c r="K68">
        <f t="shared" si="8"/>
        <v>2232</v>
      </c>
      <c r="L68">
        <f t="shared" si="9"/>
        <v>1054</v>
      </c>
      <c r="M68">
        <f t="shared" si="10"/>
        <v>1178</v>
      </c>
      <c r="N68">
        <f t="shared" si="11"/>
        <v>2023</v>
      </c>
    </row>
    <row r="69" spans="1:14" x14ac:dyDescent="0.2">
      <c r="A69" s="2">
        <v>44652</v>
      </c>
      <c r="B69" t="s">
        <v>10</v>
      </c>
      <c r="C69" t="s">
        <v>27</v>
      </c>
      <c r="D69" t="s">
        <v>11</v>
      </c>
      <c r="E69" t="s">
        <v>12</v>
      </c>
      <c r="F69" s="4">
        <v>75</v>
      </c>
      <c r="G69" s="4">
        <v>35</v>
      </c>
      <c r="H69" s="4">
        <v>16</v>
      </c>
      <c r="I69" t="s">
        <v>13</v>
      </c>
      <c r="J69" t="s">
        <v>14</v>
      </c>
      <c r="K69">
        <f t="shared" si="8"/>
        <v>2625</v>
      </c>
      <c r="L69">
        <f t="shared" si="9"/>
        <v>1200</v>
      </c>
      <c r="M69">
        <f t="shared" si="10"/>
        <v>1425</v>
      </c>
      <c r="N69">
        <f t="shared" si="11"/>
        <v>2022</v>
      </c>
    </row>
    <row r="70" spans="1:14" x14ac:dyDescent="0.2">
      <c r="A70" s="2">
        <v>44665</v>
      </c>
      <c r="B70" t="s">
        <v>10</v>
      </c>
      <c r="C70" t="s">
        <v>27</v>
      </c>
      <c r="D70" t="s">
        <v>11</v>
      </c>
      <c r="E70" t="s">
        <v>16</v>
      </c>
      <c r="F70" s="4">
        <v>130</v>
      </c>
      <c r="G70" s="4">
        <v>38</v>
      </c>
      <c r="H70" s="4">
        <v>16</v>
      </c>
      <c r="I70" t="s">
        <v>13</v>
      </c>
      <c r="J70" t="s">
        <v>19</v>
      </c>
      <c r="K70">
        <f t="shared" si="8"/>
        <v>4940</v>
      </c>
      <c r="L70">
        <f t="shared" si="9"/>
        <v>2080</v>
      </c>
      <c r="M70">
        <f t="shared" si="10"/>
        <v>2860</v>
      </c>
      <c r="N70">
        <f t="shared" si="11"/>
        <v>2022</v>
      </c>
    </row>
    <row r="71" spans="1:14" x14ac:dyDescent="0.2">
      <c r="A71" s="2">
        <v>44682</v>
      </c>
      <c r="B71" t="s">
        <v>10</v>
      </c>
      <c r="C71" t="s">
        <v>27</v>
      </c>
      <c r="D71" t="s">
        <v>11</v>
      </c>
      <c r="E71" t="s">
        <v>12</v>
      </c>
      <c r="F71" s="4">
        <v>90</v>
      </c>
      <c r="G71" s="4">
        <v>38</v>
      </c>
      <c r="H71" s="4">
        <v>16</v>
      </c>
      <c r="I71" t="s">
        <v>13</v>
      </c>
      <c r="J71" t="s">
        <v>14</v>
      </c>
      <c r="K71">
        <f t="shared" si="8"/>
        <v>3420</v>
      </c>
      <c r="L71">
        <f t="shared" si="9"/>
        <v>1440</v>
      </c>
      <c r="M71">
        <f t="shared" si="10"/>
        <v>1980</v>
      </c>
      <c r="N71">
        <f t="shared" si="11"/>
        <v>2022</v>
      </c>
    </row>
    <row r="72" spans="1:14" x14ac:dyDescent="0.2">
      <c r="A72" s="2">
        <v>44693</v>
      </c>
      <c r="B72" t="s">
        <v>10</v>
      </c>
      <c r="C72" t="s">
        <v>27</v>
      </c>
      <c r="D72" t="s">
        <v>11</v>
      </c>
      <c r="E72" t="s">
        <v>16</v>
      </c>
      <c r="F72">
        <v>140</v>
      </c>
      <c r="G72">
        <v>40</v>
      </c>
      <c r="H72">
        <v>16</v>
      </c>
      <c r="I72" t="s">
        <v>31</v>
      </c>
      <c r="J72" t="s">
        <v>14</v>
      </c>
      <c r="K72">
        <f t="shared" si="8"/>
        <v>5600</v>
      </c>
      <c r="L72">
        <f t="shared" si="9"/>
        <v>2240</v>
      </c>
      <c r="M72">
        <f t="shared" si="10"/>
        <v>3360</v>
      </c>
      <c r="N72">
        <f t="shared" si="11"/>
        <v>2022</v>
      </c>
    </row>
    <row r="73" spans="1:14" x14ac:dyDescent="0.2">
      <c r="A73" s="2">
        <v>44703</v>
      </c>
      <c r="B73" t="s">
        <v>10</v>
      </c>
      <c r="C73" t="s">
        <v>27</v>
      </c>
      <c r="D73" t="s">
        <v>11</v>
      </c>
      <c r="E73" t="s">
        <v>12</v>
      </c>
      <c r="F73" s="4">
        <v>105</v>
      </c>
      <c r="G73" s="4">
        <v>40</v>
      </c>
      <c r="H73" s="4">
        <v>16</v>
      </c>
      <c r="I73" t="s">
        <v>31</v>
      </c>
      <c r="J73" t="s">
        <v>14</v>
      </c>
      <c r="K73">
        <f t="shared" si="8"/>
        <v>4200</v>
      </c>
      <c r="L73">
        <f t="shared" si="9"/>
        <v>1680</v>
      </c>
      <c r="M73">
        <f t="shared" si="10"/>
        <v>2520</v>
      </c>
      <c r="N73">
        <f t="shared" si="11"/>
        <v>2022</v>
      </c>
    </row>
    <row r="74" spans="1:14" x14ac:dyDescent="0.2">
      <c r="A74" s="2">
        <v>44713</v>
      </c>
      <c r="B74" t="s">
        <v>10</v>
      </c>
      <c r="C74" t="s">
        <v>27</v>
      </c>
      <c r="D74" t="s">
        <v>11</v>
      </c>
      <c r="E74" t="s">
        <v>12</v>
      </c>
      <c r="F74" s="4">
        <v>120</v>
      </c>
      <c r="G74" s="4">
        <v>42</v>
      </c>
      <c r="H74" s="4">
        <v>16</v>
      </c>
      <c r="I74" t="s">
        <v>31</v>
      </c>
      <c r="J74" t="s">
        <v>14</v>
      </c>
      <c r="K74">
        <f t="shared" si="8"/>
        <v>5040</v>
      </c>
      <c r="L74">
        <f t="shared" si="9"/>
        <v>1920</v>
      </c>
      <c r="M74">
        <f t="shared" si="10"/>
        <v>3120</v>
      </c>
      <c r="N74">
        <f t="shared" si="11"/>
        <v>2022</v>
      </c>
    </row>
    <row r="75" spans="1:14" x14ac:dyDescent="0.2">
      <c r="A75" s="2">
        <v>44724</v>
      </c>
      <c r="B75" t="s">
        <v>10</v>
      </c>
      <c r="C75" t="s">
        <v>27</v>
      </c>
      <c r="D75" t="s">
        <v>11</v>
      </c>
      <c r="E75" t="s">
        <v>16</v>
      </c>
      <c r="F75" s="4">
        <v>150</v>
      </c>
      <c r="G75" s="4">
        <v>44</v>
      </c>
      <c r="H75" s="4">
        <v>16</v>
      </c>
      <c r="I75" t="s">
        <v>31</v>
      </c>
      <c r="J75" t="s">
        <v>14</v>
      </c>
      <c r="K75">
        <f t="shared" si="8"/>
        <v>6600</v>
      </c>
      <c r="L75">
        <f t="shared" si="9"/>
        <v>2400</v>
      </c>
      <c r="M75">
        <f t="shared" si="10"/>
        <v>4200</v>
      </c>
      <c r="N75">
        <f t="shared" si="11"/>
        <v>2022</v>
      </c>
    </row>
    <row r="76" spans="1:14" hidden="1" x14ac:dyDescent="0.2">
      <c r="A76" s="2">
        <v>44986</v>
      </c>
      <c r="B76" t="s">
        <v>10</v>
      </c>
      <c r="C76" t="s">
        <v>27</v>
      </c>
      <c r="D76" t="s">
        <v>11</v>
      </c>
      <c r="E76" t="s">
        <v>12</v>
      </c>
      <c r="F76" s="4">
        <v>65</v>
      </c>
      <c r="G76" s="4">
        <v>35</v>
      </c>
      <c r="H76" s="4">
        <v>16</v>
      </c>
      <c r="I76" t="s">
        <v>26</v>
      </c>
      <c r="J76" t="s">
        <v>14</v>
      </c>
      <c r="K76">
        <f t="shared" si="8"/>
        <v>2275</v>
      </c>
      <c r="L76">
        <f t="shared" si="9"/>
        <v>1040</v>
      </c>
      <c r="M76">
        <f t="shared" si="10"/>
        <v>1235</v>
      </c>
      <c r="N76">
        <f t="shared" si="11"/>
        <v>2023</v>
      </c>
    </row>
    <row r="77" spans="1:14" hidden="1" x14ac:dyDescent="0.2">
      <c r="A77" s="2">
        <v>45007</v>
      </c>
      <c r="B77" t="s">
        <v>10</v>
      </c>
      <c r="C77" t="s">
        <v>27</v>
      </c>
      <c r="D77" t="s">
        <v>11</v>
      </c>
      <c r="E77" t="s">
        <v>16</v>
      </c>
      <c r="F77" s="4">
        <v>88</v>
      </c>
      <c r="G77" s="4">
        <v>38</v>
      </c>
      <c r="H77" s="4">
        <v>16</v>
      </c>
      <c r="I77" t="s">
        <v>13</v>
      </c>
      <c r="J77" t="s">
        <v>14</v>
      </c>
      <c r="K77">
        <f t="shared" si="8"/>
        <v>3344</v>
      </c>
      <c r="L77">
        <f t="shared" si="9"/>
        <v>1408</v>
      </c>
      <c r="M77">
        <f t="shared" si="10"/>
        <v>1936</v>
      </c>
      <c r="N77">
        <f t="shared" si="11"/>
        <v>2023</v>
      </c>
    </row>
    <row r="78" spans="1:14" hidden="1" x14ac:dyDescent="0.2">
      <c r="A78" s="2">
        <v>45017</v>
      </c>
      <c r="B78" t="s">
        <v>10</v>
      </c>
      <c r="C78" t="s">
        <v>27</v>
      </c>
      <c r="D78" t="s">
        <v>11</v>
      </c>
      <c r="E78" t="s">
        <v>12</v>
      </c>
      <c r="F78" s="4">
        <v>80</v>
      </c>
      <c r="G78" s="4">
        <v>36</v>
      </c>
      <c r="H78" s="4">
        <v>17</v>
      </c>
      <c r="I78" t="s">
        <v>13</v>
      </c>
      <c r="J78" t="s">
        <v>14</v>
      </c>
      <c r="K78">
        <f t="shared" si="8"/>
        <v>2880</v>
      </c>
      <c r="L78">
        <f t="shared" si="9"/>
        <v>1360</v>
      </c>
      <c r="M78">
        <f t="shared" si="10"/>
        <v>1520</v>
      </c>
      <c r="N78">
        <f t="shared" si="11"/>
        <v>2023</v>
      </c>
    </row>
    <row r="79" spans="1:14" hidden="1" x14ac:dyDescent="0.2">
      <c r="A79" s="2">
        <v>45030</v>
      </c>
      <c r="B79" t="s">
        <v>10</v>
      </c>
      <c r="C79" t="s">
        <v>27</v>
      </c>
      <c r="D79" t="s">
        <v>11</v>
      </c>
      <c r="E79" t="s">
        <v>16</v>
      </c>
      <c r="F79" s="4">
        <v>140</v>
      </c>
      <c r="G79" s="4">
        <v>40</v>
      </c>
      <c r="H79" s="4">
        <v>17</v>
      </c>
      <c r="I79" t="s">
        <v>13</v>
      </c>
      <c r="J79" t="s">
        <v>19</v>
      </c>
      <c r="K79">
        <f t="shared" si="8"/>
        <v>5600</v>
      </c>
      <c r="L79">
        <f t="shared" si="9"/>
        <v>2380</v>
      </c>
      <c r="M79">
        <f t="shared" si="10"/>
        <v>3220</v>
      </c>
      <c r="N79">
        <f t="shared" si="11"/>
        <v>2023</v>
      </c>
    </row>
    <row r="80" spans="1:14" hidden="1" x14ac:dyDescent="0.2">
      <c r="A80" s="2">
        <v>45047</v>
      </c>
      <c r="B80" t="s">
        <v>10</v>
      </c>
      <c r="C80" t="s">
        <v>27</v>
      </c>
      <c r="D80" t="s">
        <v>11</v>
      </c>
      <c r="E80" t="s">
        <v>12</v>
      </c>
      <c r="F80" s="4">
        <v>95</v>
      </c>
      <c r="G80" s="4">
        <v>38</v>
      </c>
      <c r="H80" s="4">
        <v>17</v>
      </c>
      <c r="I80" t="s">
        <v>13</v>
      </c>
      <c r="J80" t="s">
        <v>14</v>
      </c>
      <c r="K80">
        <f t="shared" si="8"/>
        <v>3610</v>
      </c>
      <c r="L80">
        <f t="shared" si="9"/>
        <v>1615</v>
      </c>
      <c r="M80">
        <f t="shared" si="10"/>
        <v>1995</v>
      </c>
      <c r="N80">
        <f t="shared" si="11"/>
        <v>2023</v>
      </c>
    </row>
    <row r="81" spans="1:14" hidden="1" x14ac:dyDescent="0.2">
      <c r="A81" s="2">
        <v>45058</v>
      </c>
      <c r="B81" t="s">
        <v>10</v>
      </c>
      <c r="C81" t="s">
        <v>27</v>
      </c>
      <c r="D81" t="s">
        <v>11</v>
      </c>
      <c r="E81" t="s">
        <v>16</v>
      </c>
      <c r="F81" s="4">
        <v>148</v>
      </c>
      <c r="G81" s="4">
        <v>42</v>
      </c>
      <c r="H81" s="4">
        <v>17</v>
      </c>
      <c r="I81" t="s">
        <v>31</v>
      </c>
      <c r="J81" t="s">
        <v>14</v>
      </c>
      <c r="K81">
        <f t="shared" si="8"/>
        <v>6216</v>
      </c>
      <c r="L81">
        <f t="shared" si="9"/>
        <v>2516</v>
      </c>
      <c r="M81">
        <f t="shared" si="10"/>
        <v>3700</v>
      </c>
      <c r="N81">
        <f t="shared" si="11"/>
        <v>2023</v>
      </c>
    </row>
    <row r="82" spans="1:14" hidden="1" x14ac:dyDescent="0.2">
      <c r="A82" s="2">
        <v>45068</v>
      </c>
      <c r="B82" t="s">
        <v>10</v>
      </c>
      <c r="C82" t="s">
        <v>27</v>
      </c>
      <c r="D82" t="s">
        <v>11</v>
      </c>
      <c r="E82" t="s">
        <v>12</v>
      </c>
      <c r="F82" s="4">
        <v>112</v>
      </c>
      <c r="G82" s="4">
        <v>42</v>
      </c>
      <c r="H82" s="4">
        <v>17</v>
      </c>
      <c r="I82" t="s">
        <v>31</v>
      </c>
      <c r="J82" t="s">
        <v>14</v>
      </c>
      <c r="K82">
        <f t="shared" si="8"/>
        <v>4704</v>
      </c>
      <c r="L82">
        <f t="shared" si="9"/>
        <v>1904</v>
      </c>
      <c r="M82">
        <f t="shared" si="10"/>
        <v>2800</v>
      </c>
      <c r="N82">
        <f t="shared" si="11"/>
        <v>2023</v>
      </c>
    </row>
    <row r="83" spans="1:14" hidden="1" x14ac:dyDescent="0.2">
      <c r="A83" s="2">
        <v>45078</v>
      </c>
      <c r="B83" t="s">
        <v>10</v>
      </c>
      <c r="C83" t="s">
        <v>27</v>
      </c>
      <c r="D83" t="s">
        <v>11</v>
      </c>
      <c r="E83" t="s">
        <v>12</v>
      </c>
      <c r="F83" s="4">
        <v>125</v>
      </c>
      <c r="G83" s="4">
        <v>44</v>
      </c>
      <c r="H83" s="4">
        <v>17</v>
      </c>
      <c r="I83" t="s">
        <v>31</v>
      </c>
      <c r="J83" t="s">
        <v>14</v>
      </c>
      <c r="K83">
        <f t="shared" si="8"/>
        <v>5500</v>
      </c>
      <c r="L83">
        <f t="shared" si="9"/>
        <v>2125</v>
      </c>
      <c r="M83">
        <f t="shared" si="10"/>
        <v>3375</v>
      </c>
      <c r="N83">
        <f t="shared" si="11"/>
        <v>2023</v>
      </c>
    </row>
    <row r="84" spans="1:14" hidden="1" x14ac:dyDescent="0.2">
      <c r="A84" s="2">
        <v>45089</v>
      </c>
      <c r="B84" t="s">
        <v>10</v>
      </c>
      <c r="C84" t="s">
        <v>27</v>
      </c>
      <c r="D84" t="s">
        <v>11</v>
      </c>
      <c r="E84" t="s">
        <v>16</v>
      </c>
      <c r="F84" s="4">
        <v>158</v>
      </c>
      <c r="G84" s="4">
        <v>46</v>
      </c>
      <c r="H84" s="4">
        <v>17</v>
      </c>
      <c r="I84" t="s">
        <v>31</v>
      </c>
      <c r="J84" t="s">
        <v>14</v>
      </c>
      <c r="K84">
        <f t="shared" si="8"/>
        <v>7268</v>
      </c>
      <c r="L84">
        <f t="shared" si="9"/>
        <v>2686</v>
      </c>
      <c r="M84">
        <f t="shared" si="10"/>
        <v>4582</v>
      </c>
      <c r="N84">
        <f t="shared" si="11"/>
        <v>2023</v>
      </c>
    </row>
    <row r="85" spans="1:14" x14ac:dyDescent="0.2">
      <c r="A85" s="2">
        <v>44673</v>
      </c>
      <c r="B85" t="s">
        <v>10</v>
      </c>
      <c r="C85" t="s">
        <v>29</v>
      </c>
      <c r="D85" t="s">
        <v>11</v>
      </c>
      <c r="E85" t="s">
        <v>12</v>
      </c>
      <c r="F85" s="4">
        <v>80</v>
      </c>
      <c r="G85" s="4">
        <v>35</v>
      </c>
      <c r="H85" s="4">
        <v>16</v>
      </c>
      <c r="I85" t="s">
        <v>13</v>
      </c>
      <c r="J85" t="s">
        <v>14</v>
      </c>
      <c r="K85">
        <f t="shared" si="8"/>
        <v>2800</v>
      </c>
      <c r="L85">
        <f t="shared" si="9"/>
        <v>1280</v>
      </c>
      <c r="M85">
        <f t="shared" si="10"/>
        <v>1520</v>
      </c>
      <c r="N85">
        <f t="shared" si="11"/>
        <v>2022</v>
      </c>
    </row>
    <row r="86" spans="1:14" x14ac:dyDescent="0.2">
      <c r="A86" s="2">
        <v>44737</v>
      </c>
      <c r="B86" t="s">
        <v>10</v>
      </c>
      <c r="C86" t="s">
        <v>29</v>
      </c>
      <c r="D86" t="s">
        <v>11</v>
      </c>
      <c r="E86" t="s">
        <v>12</v>
      </c>
      <c r="F86" s="4">
        <v>125</v>
      </c>
      <c r="G86" s="4">
        <v>42</v>
      </c>
      <c r="H86" s="4">
        <v>16</v>
      </c>
      <c r="I86" t="s">
        <v>13</v>
      </c>
      <c r="J86" t="s">
        <v>14</v>
      </c>
      <c r="K86">
        <f t="shared" si="8"/>
        <v>5250</v>
      </c>
      <c r="L86">
        <f t="shared" si="9"/>
        <v>2000</v>
      </c>
      <c r="M86">
        <f t="shared" si="10"/>
        <v>3250</v>
      </c>
      <c r="N86">
        <f t="shared" si="11"/>
        <v>2022</v>
      </c>
    </row>
    <row r="87" spans="1:14" hidden="1" x14ac:dyDescent="0.2">
      <c r="A87" s="2">
        <v>45038</v>
      </c>
      <c r="B87" t="s">
        <v>10</v>
      </c>
      <c r="C87" t="s">
        <v>29</v>
      </c>
      <c r="D87" t="s">
        <v>11</v>
      </c>
      <c r="E87" t="s">
        <v>12</v>
      </c>
      <c r="F87" s="4">
        <v>85</v>
      </c>
      <c r="G87" s="4">
        <v>36</v>
      </c>
      <c r="H87" s="4">
        <v>17</v>
      </c>
      <c r="I87" t="s">
        <v>13</v>
      </c>
      <c r="J87" t="s">
        <v>14</v>
      </c>
      <c r="K87">
        <f t="shared" si="8"/>
        <v>3060</v>
      </c>
      <c r="L87">
        <f t="shared" si="9"/>
        <v>1445</v>
      </c>
      <c r="M87">
        <f t="shared" si="10"/>
        <v>1615</v>
      </c>
      <c r="N87">
        <f t="shared" si="11"/>
        <v>2023</v>
      </c>
    </row>
    <row r="88" spans="1:14" hidden="1" x14ac:dyDescent="0.2">
      <c r="A88" s="2">
        <v>45102</v>
      </c>
      <c r="B88" t="s">
        <v>10</v>
      </c>
      <c r="C88" t="s">
        <v>29</v>
      </c>
      <c r="D88" t="s">
        <v>11</v>
      </c>
      <c r="E88" t="s">
        <v>12</v>
      </c>
      <c r="F88" s="4">
        <v>130</v>
      </c>
      <c r="G88" s="4">
        <v>44</v>
      </c>
      <c r="H88" s="4">
        <v>17</v>
      </c>
      <c r="I88" t="s">
        <v>13</v>
      </c>
      <c r="J88" t="s">
        <v>14</v>
      </c>
      <c r="K88">
        <f t="shared" si="8"/>
        <v>5720</v>
      </c>
      <c r="L88">
        <f t="shared" si="9"/>
        <v>2210</v>
      </c>
      <c r="M88">
        <f t="shared" si="10"/>
        <v>3510</v>
      </c>
      <c r="N88">
        <f t="shared" si="11"/>
        <v>2023</v>
      </c>
    </row>
    <row r="89" spans="1:14" x14ac:dyDescent="0.2">
      <c r="A89" s="2">
        <v>44835</v>
      </c>
      <c r="B89" t="s">
        <v>10</v>
      </c>
      <c r="C89" t="s">
        <v>27</v>
      </c>
      <c r="D89" t="s">
        <v>23</v>
      </c>
      <c r="E89" t="s">
        <v>12</v>
      </c>
      <c r="F89" s="4">
        <v>38</v>
      </c>
      <c r="G89" s="4">
        <v>32</v>
      </c>
      <c r="H89" s="4">
        <v>16</v>
      </c>
      <c r="I89" t="s">
        <v>24</v>
      </c>
      <c r="J89" t="s">
        <v>14</v>
      </c>
      <c r="K89">
        <f t="shared" si="8"/>
        <v>1216</v>
      </c>
      <c r="L89">
        <f t="shared" si="9"/>
        <v>608</v>
      </c>
      <c r="M89">
        <f t="shared" si="10"/>
        <v>608</v>
      </c>
      <c r="N89">
        <f t="shared" si="11"/>
        <v>2022</v>
      </c>
    </row>
    <row r="90" spans="1:14" x14ac:dyDescent="0.2">
      <c r="A90" s="2">
        <v>44854</v>
      </c>
      <c r="B90" t="s">
        <v>10</v>
      </c>
      <c r="C90" t="s">
        <v>27</v>
      </c>
      <c r="D90" t="s">
        <v>23</v>
      </c>
      <c r="E90" t="s">
        <v>16</v>
      </c>
      <c r="F90" s="4">
        <v>62</v>
      </c>
      <c r="G90" s="4">
        <v>35</v>
      </c>
      <c r="H90" s="4">
        <v>16</v>
      </c>
      <c r="I90" t="s">
        <v>24</v>
      </c>
      <c r="J90" t="s">
        <v>19</v>
      </c>
      <c r="K90">
        <f t="shared" si="8"/>
        <v>2170</v>
      </c>
      <c r="L90">
        <f t="shared" si="9"/>
        <v>992</v>
      </c>
      <c r="M90">
        <f t="shared" si="10"/>
        <v>1178</v>
      </c>
      <c r="N90">
        <f t="shared" si="11"/>
        <v>2022</v>
      </c>
    </row>
    <row r="91" spans="1:14" x14ac:dyDescent="0.2">
      <c r="A91" s="2">
        <v>44910</v>
      </c>
      <c r="B91" t="s">
        <v>10</v>
      </c>
      <c r="C91" t="s">
        <v>27</v>
      </c>
      <c r="D91" t="s">
        <v>23</v>
      </c>
      <c r="E91" t="s">
        <v>16</v>
      </c>
      <c r="F91" s="4">
        <v>32</v>
      </c>
      <c r="G91" s="4">
        <v>32</v>
      </c>
      <c r="H91" s="4">
        <v>16</v>
      </c>
      <c r="I91" t="s">
        <v>25</v>
      </c>
      <c r="J91" t="s">
        <v>14</v>
      </c>
      <c r="K91">
        <f t="shared" si="8"/>
        <v>1024</v>
      </c>
      <c r="L91">
        <f t="shared" si="9"/>
        <v>512</v>
      </c>
      <c r="M91">
        <f t="shared" si="10"/>
        <v>512</v>
      </c>
      <c r="N91">
        <f t="shared" si="11"/>
        <v>2022</v>
      </c>
    </row>
    <row r="92" spans="1:14" hidden="1" x14ac:dyDescent="0.2">
      <c r="A92" s="2">
        <v>44952</v>
      </c>
      <c r="B92" t="s">
        <v>10</v>
      </c>
      <c r="C92" t="s">
        <v>27</v>
      </c>
      <c r="D92" t="s">
        <v>23</v>
      </c>
      <c r="E92" t="s">
        <v>16</v>
      </c>
      <c r="F92" s="4">
        <v>58</v>
      </c>
      <c r="G92" s="4">
        <v>35</v>
      </c>
      <c r="H92" s="4">
        <v>16</v>
      </c>
      <c r="I92" t="s">
        <v>25</v>
      </c>
      <c r="J92" t="s">
        <v>19</v>
      </c>
      <c r="K92">
        <f t="shared" si="8"/>
        <v>2030</v>
      </c>
      <c r="L92">
        <f t="shared" si="9"/>
        <v>928</v>
      </c>
      <c r="M92">
        <f t="shared" si="10"/>
        <v>1102</v>
      </c>
      <c r="N92">
        <f t="shared" si="11"/>
        <v>2023</v>
      </c>
    </row>
    <row r="93" spans="1:14" hidden="1" x14ac:dyDescent="0.2">
      <c r="A93" s="2">
        <v>45200</v>
      </c>
      <c r="B93" t="s">
        <v>10</v>
      </c>
      <c r="C93" t="s">
        <v>27</v>
      </c>
      <c r="D93" t="s">
        <v>23</v>
      </c>
      <c r="E93" t="s">
        <v>12</v>
      </c>
      <c r="F93" s="4">
        <v>40</v>
      </c>
      <c r="G93" s="4">
        <v>33</v>
      </c>
      <c r="H93" s="4">
        <v>17</v>
      </c>
      <c r="I93" t="s">
        <v>24</v>
      </c>
      <c r="J93" t="s">
        <v>14</v>
      </c>
      <c r="K93">
        <f t="shared" si="8"/>
        <v>1320</v>
      </c>
      <c r="L93">
        <f t="shared" si="9"/>
        <v>680</v>
      </c>
      <c r="M93">
        <f t="shared" si="10"/>
        <v>640</v>
      </c>
      <c r="N93">
        <f t="shared" si="11"/>
        <v>2023</v>
      </c>
    </row>
    <row r="94" spans="1:14" hidden="1" x14ac:dyDescent="0.2">
      <c r="A94" s="2">
        <v>45219</v>
      </c>
      <c r="B94" t="s">
        <v>10</v>
      </c>
      <c r="C94" t="s">
        <v>27</v>
      </c>
      <c r="D94" t="s">
        <v>23</v>
      </c>
      <c r="E94" t="s">
        <v>16</v>
      </c>
      <c r="F94" s="4">
        <v>68</v>
      </c>
      <c r="G94" s="4">
        <v>36</v>
      </c>
      <c r="H94" s="4">
        <v>17</v>
      </c>
      <c r="I94" t="s">
        <v>24</v>
      </c>
      <c r="J94" t="s">
        <v>19</v>
      </c>
      <c r="K94">
        <f t="shared" si="8"/>
        <v>2448</v>
      </c>
      <c r="L94">
        <f t="shared" si="9"/>
        <v>1156</v>
      </c>
      <c r="M94">
        <f t="shared" si="10"/>
        <v>1292</v>
      </c>
      <c r="N94">
        <f t="shared" si="11"/>
        <v>2023</v>
      </c>
    </row>
    <row r="95" spans="1:14" hidden="1" x14ac:dyDescent="0.2">
      <c r="A95" s="2">
        <v>45275</v>
      </c>
      <c r="B95" t="s">
        <v>10</v>
      </c>
      <c r="C95" t="s">
        <v>27</v>
      </c>
      <c r="D95" t="s">
        <v>23</v>
      </c>
      <c r="E95" t="s">
        <v>16</v>
      </c>
      <c r="F95" s="4">
        <v>35</v>
      </c>
      <c r="G95" s="4">
        <v>33</v>
      </c>
      <c r="H95" s="4">
        <v>17</v>
      </c>
      <c r="I95" t="s">
        <v>25</v>
      </c>
      <c r="J95" t="s">
        <v>14</v>
      </c>
      <c r="K95">
        <f t="shared" si="8"/>
        <v>1155</v>
      </c>
      <c r="L95">
        <f t="shared" si="9"/>
        <v>595</v>
      </c>
      <c r="M95">
        <f t="shared" si="10"/>
        <v>560</v>
      </c>
      <c r="N95">
        <f t="shared" si="11"/>
        <v>2023</v>
      </c>
    </row>
    <row r="96" spans="1:14" x14ac:dyDescent="0.2">
      <c r="A96" s="2">
        <v>44859</v>
      </c>
      <c r="B96" t="s">
        <v>10</v>
      </c>
      <c r="C96" t="s">
        <v>28</v>
      </c>
      <c r="D96" t="s">
        <v>23</v>
      </c>
      <c r="E96" t="s">
        <v>12</v>
      </c>
      <c r="F96" s="4">
        <v>35</v>
      </c>
      <c r="G96" s="4">
        <v>32</v>
      </c>
      <c r="H96" s="4">
        <v>16</v>
      </c>
      <c r="I96" t="s">
        <v>24</v>
      </c>
      <c r="J96" t="s">
        <v>14</v>
      </c>
      <c r="K96">
        <f t="shared" si="8"/>
        <v>1120</v>
      </c>
      <c r="L96">
        <f t="shared" si="9"/>
        <v>560</v>
      </c>
      <c r="M96">
        <f t="shared" si="10"/>
        <v>560</v>
      </c>
      <c r="N96">
        <f t="shared" si="11"/>
        <v>2022</v>
      </c>
    </row>
    <row r="97" spans="1:14" hidden="1" x14ac:dyDescent="0.2">
      <c r="A97" s="2">
        <v>44941</v>
      </c>
      <c r="B97" t="s">
        <v>10</v>
      </c>
      <c r="C97" t="s">
        <v>28</v>
      </c>
      <c r="D97" t="s">
        <v>23</v>
      </c>
      <c r="E97" t="s">
        <v>12</v>
      </c>
      <c r="F97" s="4">
        <v>28</v>
      </c>
      <c r="G97" s="4">
        <v>30</v>
      </c>
      <c r="H97" s="4">
        <v>16</v>
      </c>
      <c r="I97" t="s">
        <v>32</v>
      </c>
      <c r="J97" t="s">
        <v>14</v>
      </c>
      <c r="K97">
        <f t="shared" si="8"/>
        <v>840</v>
      </c>
      <c r="L97">
        <f t="shared" si="9"/>
        <v>448</v>
      </c>
      <c r="M97">
        <f t="shared" si="10"/>
        <v>392</v>
      </c>
      <c r="N97">
        <f t="shared" si="11"/>
        <v>2023</v>
      </c>
    </row>
    <row r="98" spans="1:14" hidden="1" x14ac:dyDescent="0.2">
      <c r="A98" s="2">
        <v>45224</v>
      </c>
      <c r="B98" t="s">
        <v>10</v>
      </c>
      <c r="C98" t="s">
        <v>28</v>
      </c>
      <c r="D98" t="s">
        <v>23</v>
      </c>
      <c r="E98" t="s">
        <v>12</v>
      </c>
      <c r="F98" s="4">
        <v>38</v>
      </c>
      <c r="G98" s="4">
        <v>33</v>
      </c>
      <c r="H98" s="4">
        <v>17</v>
      </c>
      <c r="I98" t="s">
        <v>24</v>
      </c>
      <c r="J98" t="s">
        <v>14</v>
      </c>
      <c r="K98">
        <f t="shared" ref="K98:K129" si="12">F98*G98</f>
        <v>1254</v>
      </c>
      <c r="L98">
        <f t="shared" ref="L98:L129" si="13">F98*H98</f>
        <v>646</v>
      </c>
      <c r="M98">
        <f t="shared" ref="M98:M129" si="14">K98-L98</f>
        <v>608</v>
      </c>
      <c r="N98">
        <f t="shared" ref="N98:N129" si="15">YEAR(A98)</f>
        <v>2023</v>
      </c>
    </row>
    <row r="99" spans="1:14" x14ac:dyDescent="0.2">
      <c r="A99" s="2">
        <v>44754</v>
      </c>
      <c r="B99" t="s">
        <v>18</v>
      </c>
      <c r="C99" t="s">
        <v>27</v>
      </c>
      <c r="D99" t="s">
        <v>20</v>
      </c>
      <c r="E99" t="s">
        <v>16</v>
      </c>
      <c r="F99" s="4">
        <v>55</v>
      </c>
      <c r="G99" s="4">
        <v>35</v>
      </c>
      <c r="H99" s="4">
        <v>15</v>
      </c>
      <c r="I99" t="s">
        <v>22</v>
      </c>
      <c r="J99" t="s">
        <v>14</v>
      </c>
      <c r="K99">
        <f t="shared" si="12"/>
        <v>1925</v>
      </c>
      <c r="L99">
        <f t="shared" si="13"/>
        <v>825</v>
      </c>
      <c r="M99">
        <f t="shared" si="14"/>
        <v>1100</v>
      </c>
      <c r="N99">
        <f t="shared" si="15"/>
        <v>2022</v>
      </c>
    </row>
    <row r="100" spans="1:14" x14ac:dyDescent="0.2">
      <c r="A100" s="2">
        <v>44812</v>
      </c>
      <c r="B100" t="s">
        <v>18</v>
      </c>
      <c r="C100" t="s">
        <v>27</v>
      </c>
      <c r="D100" t="s">
        <v>20</v>
      </c>
      <c r="E100" t="s">
        <v>12</v>
      </c>
      <c r="F100" s="4">
        <v>48</v>
      </c>
      <c r="G100" s="4">
        <v>33</v>
      </c>
      <c r="H100" s="4">
        <v>15</v>
      </c>
      <c r="I100" t="s">
        <v>22</v>
      </c>
      <c r="J100" t="s">
        <v>14</v>
      </c>
      <c r="K100">
        <f t="shared" si="12"/>
        <v>1584</v>
      </c>
      <c r="L100">
        <f t="shared" si="13"/>
        <v>720</v>
      </c>
      <c r="M100">
        <f t="shared" si="14"/>
        <v>864</v>
      </c>
      <c r="N100">
        <f t="shared" si="15"/>
        <v>2022</v>
      </c>
    </row>
    <row r="101" spans="1:14" hidden="1" x14ac:dyDescent="0.2">
      <c r="A101" s="2">
        <v>45119</v>
      </c>
      <c r="B101" t="s">
        <v>18</v>
      </c>
      <c r="C101" t="s">
        <v>27</v>
      </c>
      <c r="D101" t="s">
        <v>20</v>
      </c>
      <c r="E101" t="s">
        <v>16</v>
      </c>
      <c r="F101" s="4">
        <v>58</v>
      </c>
      <c r="G101" s="4">
        <v>35</v>
      </c>
      <c r="H101" s="4">
        <v>16</v>
      </c>
      <c r="I101" t="s">
        <v>22</v>
      </c>
      <c r="J101" t="s">
        <v>14</v>
      </c>
      <c r="K101">
        <f t="shared" si="12"/>
        <v>2030</v>
      </c>
      <c r="L101">
        <f t="shared" si="13"/>
        <v>928</v>
      </c>
      <c r="M101">
        <f t="shared" si="14"/>
        <v>1102</v>
      </c>
      <c r="N101">
        <f t="shared" si="15"/>
        <v>2023</v>
      </c>
    </row>
    <row r="102" spans="1:14" hidden="1" x14ac:dyDescent="0.2">
      <c r="A102" s="2">
        <v>45177</v>
      </c>
      <c r="B102" t="s">
        <v>18</v>
      </c>
      <c r="C102" t="s">
        <v>27</v>
      </c>
      <c r="D102" t="s">
        <v>20</v>
      </c>
      <c r="E102" t="s">
        <v>12</v>
      </c>
      <c r="F102" s="4">
        <v>50</v>
      </c>
      <c r="G102" s="4">
        <v>33</v>
      </c>
      <c r="H102" s="4">
        <v>16</v>
      </c>
      <c r="I102" t="s">
        <v>22</v>
      </c>
      <c r="J102" t="s">
        <v>14</v>
      </c>
      <c r="K102">
        <f t="shared" si="12"/>
        <v>1650</v>
      </c>
      <c r="L102">
        <f t="shared" si="13"/>
        <v>800</v>
      </c>
      <c r="M102">
        <f t="shared" si="14"/>
        <v>850</v>
      </c>
      <c r="N102">
        <f t="shared" si="15"/>
        <v>2023</v>
      </c>
    </row>
    <row r="103" spans="1:14" x14ac:dyDescent="0.2">
      <c r="A103" s="2">
        <v>44781</v>
      </c>
      <c r="B103" t="s">
        <v>18</v>
      </c>
      <c r="C103" t="s">
        <v>28</v>
      </c>
      <c r="D103" t="s">
        <v>20</v>
      </c>
      <c r="E103" t="s">
        <v>12</v>
      </c>
      <c r="F103" s="4">
        <v>50</v>
      </c>
      <c r="G103" s="4">
        <v>33</v>
      </c>
      <c r="H103" s="4">
        <v>15</v>
      </c>
      <c r="I103" t="s">
        <v>21</v>
      </c>
      <c r="J103" t="s">
        <v>14</v>
      </c>
      <c r="K103">
        <f t="shared" si="12"/>
        <v>1650</v>
      </c>
      <c r="L103">
        <f t="shared" si="13"/>
        <v>750</v>
      </c>
      <c r="M103">
        <f t="shared" si="14"/>
        <v>900</v>
      </c>
      <c r="N103">
        <f t="shared" si="15"/>
        <v>2022</v>
      </c>
    </row>
    <row r="104" spans="1:14" hidden="1" x14ac:dyDescent="0.2">
      <c r="A104" s="2">
        <v>45146</v>
      </c>
      <c r="B104" t="s">
        <v>18</v>
      </c>
      <c r="C104" t="s">
        <v>28</v>
      </c>
      <c r="D104" t="s">
        <v>20</v>
      </c>
      <c r="E104" t="s">
        <v>12</v>
      </c>
      <c r="F104" s="4">
        <v>52</v>
      </c>
      <c r="G104" s="4">
        <v>33</v>
      </c>
      <c r="H104" s="4">
        <v>16</v>
      </c>
      <c r="I104" t="s">
        <v>21</v>
      </c>
      <c r="J104" t="s">
        <v>14</v>
      </c>
      <c r="K104">
        <f t="shared" si="12"/>
        <v>1716</v>
      </c>
      <c r="L104">
        <f t="shared" si="13"/>
        <v>832</v>
      </c>
      <c r="M104">
        <f t="shared" si="14"/>
        <v>884</v>
      </c>
      <c r="N104">
        <f t="shared" si="15"/>
        <v>2023</v>
      </c>
    </row>
    <row r="105" spans="1:14" x14ac:dyDescent="0.2">
      <c r="A105" s="2">
        <v>44659</v>
      </c>
      <c r="B105" t="s">
        <v>18</v>
      </c>
      <c r="C105" t="s">
        <v>27</v>
      </c>
      <c r="D105" t="s">
        <v>11</v>
      </c>
      <c r="E105" t="s">
        <v>16</v>
      </c>
      <c r="F105" s="4">
        <v>55</v>
      </c>
      <c r="G105" s="4">
        <v>35</v>
      </c>
      <c r="H105" s="4">
        <v>15</v>
      </c>
      <c r="I105" t="s">
        <v>13</v>
      </c>
      <c r="J105" t="s">
        <v>14</v>
      </c>
      <c r="K105">
        <f t="shared" si="12"/>
        <v>1925</v>
      </c>
      <c r="L105">
        <f t="shared" si="13"/>
        <v>825</v>
      </c>
      <c r="M105">
        <f t="shared" si="14"/>
        <v>1100</v>
      </c>
      <c r="N105">
        <f t="shared" si="15"/>
        <v>2022</v>
      </c>
    </row>
    <row r="106" spans="1:14" hidden="1" x14ac:dyDescent="0.2">
      <c r="A106" s="2">
        <v>45028</v>
      </c>
      <c r="B106" t="s">
        <v>18</v>
      </c>
      <c r="C106" t="s">
        <v>27</v>
      </c>
      <c r="D106" t="s">
        <v>11</v>
      </c>
      <c r="E106" t="s">
        <v>16</v>
      </c>
      <c r="F106" s="4">
        <v>62</v>
      </c>
      <c r="G106" s="4">
        <v>36</v>
      </c>
      <c r="H106" s="4">
        <v>16</v>
      </c>
      <c r="I106" t="s">
        <v>13</v>
      </c>
      <c r="J106" t="s">
        <v>14</v>
      </c>
      <c r="K106">
        <f t="shared" si="12"/>
        <v>2232</v>
      </c>
      <c r="L106">
        <f t="shared" si="13"/>
        <v>992</v>
      </c>
      <c r="M106">
        <f t="shared" si="14"/>
        <v>1240</v>
      </c>
      <c r="N106">
        <f t="shared" si="15"/>
        <v>2023</v>
      </c>
    </row>
    <row r="107" spans="1:14" x14ac:dyDescent="0.2">
      <c r="A107" s="2">
        <v>44699</v>
      </c>
      <c r="B107" t="s">
        <v>18</v>
      </c>
      <c r="C107" t="s">
        <v>29</v>
      </c>
      <c r="D107" t="s">
        <v>11</v>
      </c>
      <c r="E107" t="s">
        <v>16</v>
      </c>
      <c r="F107" s="4">
        <v>100</v>
      </c>
      <c r="G107" s="4">
        <v>38</v>
      </c>
      <c r="H107" s="4">
        <v>15</v>
      </c>
      <c r="I107" t="s">
        <v>31</v>
      </c>
      <c r="J107" t="s">
        <v>14</v>
      </c>
      <c r="K107">
        <f t="shared" si="12"/>
        <v>3800</v>
      </c>
      <c r="L107">
        <f t="shared" si="13"/>
        <v>1500</v>
      </c>
      <c r="M107">
        <f t="shared" si="14"/>
        <v>2300</v>
      </c>
      <c r="N107">
        <f t="shared" si="15"/>
        <v>2022</v>
      </c>
    </row>
    <row r="108" spans="1:14" hidden="1" x14ac:dyDescent="0.2">
      <c r="A108" s="2">
        <v>45085</v>
      </c>
      <c r="B108" t="s">
        <v>18</v>
      </c>
      <c r="C108" t="s">
        <v>29</v>
      </c>
      <c r="D108" t="s">
        <v>11</v>
      </c>
      <c r="E108" t="s">
        <v>12</v>
      </c>
      <c r="F108" s="4">
        <v>100</v>
      </c>
      <c r="G108" s="4">
        <v>40</v>
      </c>
      <c r="H108" s="4">
        <v>16</v>
      </c>
      <c r="I108" t="s">
        <v>31</v>
      </c>
      <c r="J108" t="s">
        <v>14</v>
      </c>
      <c r="K108">
        <f t="shared" si="12"/>
        <v>4000</v>
      </c>
      <c r="L108">
        <f t="shared" si="13"/>
        <v>1600</v>
      </c>
      <c r="M108">
        <f t="shared" si="14"/>
        <v>2400</v>
      </c>
      <c r="N108">
        <f t="shared" si="15"/>
        <v>2023</v>
      </c>
    </row>
    <row r="109" spans="1:14" x14ac:dyDescent="0.2">
      <c r="A109" s="2">
        <v>44665</v>
      </c>
      <c r="B109" t="s">
        <v>18</v>
      </c>
      <c r="C109" t="s">
        <v>28</v>
      </c>
      <c r="D109" t="s">
        <v>11</v>
      </c>
      <c r="E109" t="s">
        <v>16</v>
      </c>
      <c r="F109" s="4">
        <v>85</v>
      </c>
      <c r="G109" s="4">
        <v>38</v>
      </c>
      <c r="H109" s="4">
        <v>15</v>
      </c>
      <c r="I109" t="s">
        <v>13</v>
      </c>
      <c r="J109" t="s">
        <v>19</v>
      </c>
      <c r="K109">
        <f t="shared" si="12"/>
        <v>3230</v>
      </c>
      <c r="L109">
        <f t="shared" si="13"/>
        <v>1275</v>
      </c>
      <c r="M109">
        <f t="shared" si="14"/>
        <v>1955</v>
      </c>
      <c r="N109">
        <f t="shared" si="15"/>
        <v>2022</v>
      </c>
    </row>
    <row r="110" spans="1:14" x14ac:dyDescent="0.2">
      <c r="A110" s="2">
        <v>44720</v>
      </c>
      <c r="B110" t="s">
        <v>18</v>
      </c>
      <c r="C110" t="s">
        <v>28</v>
      </c>
      <c r="D110" t="s">
        <v>11</v>
      </c>
      <c r="E110" t="s">
        <v>12</v>
      </c>
      <c r="F110" s="4">
        <v>95</v>
      </c>
      <c r="G110" s="4">
        <v>40</v>
      </c>
      <c r="H110" s="4">
        <v>15</v>
      </c>
      <c r="I110" t="s">
        <v>31</v>
      </c>
      <c r="J110" t="s">
        <v>14</v>
      </c>
      <c r="K110">
        <f t="shared" si="12"/>
        <v>3800</v>
      </c>
      <c r="L110">
        <f t="shared" si="13"/>
        <v>1425</v>
      </c>
      <c r="M110">
        <f t="shared" si="14"/>
        <v>2375</v>
      </c>
      <c r="N110">
        <f t="shared" si="15"/>
        <v>2022</v>
      </c>
    </row>
    <row r="111" spans="1:14" hidden="1" x14ac:dyDescent="0.2">
      <c r="A111" s="2">
        <v>45010</v>
      </c>
      <c r="B111" t="s">
        <v>18</v>
      </c>
      <c r="C111" t="s">
        <v>28</v>
      </c>
      <c r="D111" t="s">
        <v>11</v>
      </c>
      <c r="E111" t="s">
        <v>16</v>
      </c>
      <c r="F111" s="4">
        <v>70</v>
      </c>
      <c r="G111" s="4">
        <v>35</v>
      </c>
      <c r="H111" s="4">
        <v>15</v>
      </c>
      <c r="I111" t="s">
        <v>13</v>
      </c>
      <c r="J111" t="s">
        <v>14</v>
      </c>
      <c r="K111">
        <f t="shared" si="12"/>
        <v>2450</v>
      </c>
      <c r="L111">
        <f t="shared" si="13"/>
        <v>1050</v>
      </c>
      <c r="M111">
        <f t="shared" si="14"/>
        <v>1400</v>
      </c>
      <c r="N111">
        <f t="shared" si="15"/>
        <v>2023</v>
      </c>
    </row>
    <row r="112" spans="1:14" hidden="1" x14ac:dyDescent="0.2">
      <c r="A112" s="2">
        <v>45064</v>
      </c>
      <c r="B112" t="s">
        <v>18</v>
      </c>
      <c r="C112" t="s">
        <v>28</v>
      </c>
      <c r="D112" t="s">
        <v>11</v>
      </c>
      <c r="E112" t="s">
        <v>16</v>
      </c>
      <c r="F112" s="4">
        <v>108</v>
      </c>
      <c r="G112" s="4">
        <v>40</v>
      </c>
      <c r="H112" s="4">
        <v>16</v>
      </c>
      <c r="I112" t="s">
        <v>31</v>
      </c>
      <c r="J112" t="s">
        <v>14</v>
      </c>
      <c r="K112">
        <f t="shared" si="12"/>
        <v>4320</v>
      </c>
      <c r="L112">
        <f t="shared" si="13"/>
        <v>1728</v>
      </c>
      <c r="M112">
        <f t="shared" si="14"/>
        <v>2592</v>
      </c>
      <c r="N112">
        <f t="shared" si="15"/>
        <v>2023</v>
      </c>
    </row>
    <row r="113" spans="1:14" hidden="1" x14ac:dyDescent="0.2">
      <c r="A113" s="2">
        <v>44948</v>
      </c>
      <c r="B113" t="s">
        <v>18</v>
      </c>
      <c r="C113" t="s">
        <v>29</v>
      </c>
      <c r="D113" t="s">
        <v>23</v>
      </c>
      <c r="E113" t="s">
        <v>12</v>
      </c>
      <c r="F113" s="4">
        <v>25</v>
      </c>
      <c r="G113" s="4">
        <v>28</v>
      </c>
      <c r="H113" s="4">
        <v>15</v>
      </c>
      <c r="I113" t="s">
        <v>25</v>
      </c>
      <c r="J113" t="s">
        <v>14</v>
      </c>
      <c r="K113">
        <f t="shared" si="12"/>
        <v>700</v>
      </c>
      <c r="L113">
        <f t="shared" si="13"/>
        <v>375</v>
      </c>
      <c r="M113">
        <f t="shared" si="14"/>
        <v>325</v>
      </c>
      <c r="N113">
        <f t="shared" si="15"/>
        <v>2023</v>
      </c>
    </row>
    <row r="114" spans="1:14" hidden="1" x14ac:dyDescent="0.2">
      <c r="A114" s="2">
        <v>44972</v>
      </c>
      <c r="B114" t="s">
        <v>18</v>
      </c>
      <c r="C114" t="s">
        <v>29</v>
      </c>
      <c r="D114" t="s">
        <v>23</v>
      </c>
      <c r="E114" t="s">
        <v>12</v>
      </c>
      <c r="F114" s="4">
        <v>32</v>
      </c>
      <c r="G114" s="4">
        <v>30</v>
      </c>
      <c r="H114" s="4">
        <v>15</v>
      </c>
      <c r="I114" t="s">
        <v>24</v>
      </c>
      <c r="J114" t="s">
        <v>14</v>
      </c>
      <c r="K114">
        <f t="shared" si="12"/>
        <v>960</v>
      </c>
      <c r="L114">
        <f t="shared" si="13"/>
        <v>480</v>
      </c>
      <c r="M114">
        <f t="shared" si="14"/>
        <v>480</v>
      </c>
      <c r="N114">
        <f t="shared" si="15"/>
        <v>2023</v>
      </c>
    </row>
    <row r="115" spans="1:14" x14ac:dyDescent="0.2">
      <c r="A115" s="2">
        <v>44849</v>
      </c>
      <c r="B115" t="s">
        <v>18</v>
      </c>
      <c r="C115" t="s">
        <v>28</v>
      </c>
      <c r="D115" t="s">
        <v>23</v>
      </c>
      <c r="E115" t="s">
        <v>16</v>
      </c>
      <c r="F115" s="4">
        <v>42</v>
      </c>
      <c r="G115" s="4">
        <v>32</v>
      </c>
      <c r="H115" s="4">
        <v>15</v>
      </c>
      <c r="I115" t="s">
        <v>24</v>
      </c>
      <c r="J115" t="s">
        <v>14</v>
      </c>
      <c r="K115">
        <f t="shared" si="12"/>
        <v>1344</v>
      </c>
      <c r="L115">
        <f t="shared" si="13"/>
        <v>630</v>
      </c>
      <c r="M115">
        <f t="shared" si="14"/>
        <v>714</v>
      </c>
      <c r="N115">
        <f t="shared" si="15"/>
        <v>2022</v>
      </c>
    </row>
    <row r="116" spans="1:14" x14ac:dyDescent="0.2">
      <c r="A116" s="2">
        <v>44873</v>
      </c>
      <c r="B116" t="s">
        <v>18</v>
      </c>
      <c r="C116" t="s">
        <v>28</v>
      </c>
      <c r="D116" t="s">
        <v>23</v>
      </c>
      <c r="E116" t="s">
        <v>16</v>
      </c>
      <c r="F116" s="4">
        <v>38</v>
      </c>
      <c r="G116" s="4">
        <v>30</v>
      </c>
      <c r="H116" s="4">
        <v>15</v>
      </c>
      <c r="I116" t="s">
        <v>25</v>
      </c>
      <c r="J116" t="s">
        <v>14</v>
      </c>
      <c r="K116">
        <f t="shared" si="12"/>
        <v>1140</v>
      </c>
      <c r="L116">
        <f t="shared" si="13"/>
        <v>570</v>
      </c>
      <c r="M116">
        <f t="shared" si="14"/>
        <v>570</v>
      </c>
      <c r="N116">
        <f t="shared" si="15"/>
        <v>2022</v>
      </c>
    </row>
    <row r="117" spans="1:14" x14ac:dyDescent="0.2">
      <c r="A117" s="2">
        <v>44920</v>
      </c>
      <c r="B117" t="s">
        <v>18</v>
      </c>
      <c r="C117" t="s">
        <v>28</v>
      </c>
      <c r="D117" t="s">
        <v>23</v>
      </c>
      <c r="E117" t="s">
        <v>16</v>
      </c>
      <c r="F117" s="4">
        <v>65</v>
      </c>
      <c r="G117" s="4">
        <v>38</v>
      </c>
      <c r="H117" s="4">
        <v>15</v>
      </c>
      <c r="I117" t="s">
        <v>25</v>
      </c>
      <c r="J117" t="s">
        <v>19</v>
      </c>
      <c r="K117">
        <f t="shared" si="12"/>
        <v>2470</v>
      </c>
      <c r="L117">
        <f t="shared" si="13"/>
        <v>975</v>
      </c>
      <c r="M117">
        <f t="shared" si="14"/>
        <v>1495</v>
      </c>
      <c r="N117">
        <f t="shared" si="15"/>
        <v>2022</v>
      </c>
    </row>
    <row r="118" spans="1:14" hidden="1" x14ac:dyDescent="0.2">
      <c r="A118" s="2">
        <v>45214</v>
      </c>
      <c r="B118" t="s">
        <v>18</v>
      </c>
      <c r="C118" t="s">
        <v>28</v>
      </c>
      <c r="D118" t="s">
        <v>23</v>
      </c>
      <c r="E118" t="s">
        <v>16</v>
      </c>
      <c r="F118" s="4">
        <v>44</v>
      </c>
      <c r="G118" s="4">
        <v>32</v>
      </c>
      <c r="H118" s="4">
        <v>16</v>
      </c>
      <c r="I118" t="s">
        <v>24</v>
      </c>
      <c r="J118" t="s">
        <v>14</v>
      </c>
      <c r="K118">
        <f t="shared" si="12"/>
        <v>1408</v>
      </c>
      <c r="L118">
        <f t="shared" si="13"/>
        <v>704</v>
      </c>
      <c r="M118">
        <f t="shared" si="14"/>
        <v>704</v>
      </c>
      <c r="N118">
        <f t="shared" si="15"/>
        <v>2023</v>
      </c>
    </row>
    <row r="119" spans="1:14" hidden="1" x14ac:dyDescent="0.2">
      <c r="A119" s="2">
        <v>45238</v>
      </c>
      <c r="B119" t="s">
        <v>18</v>
      </c>
      <c r="C119" t="s">
        <v>28</v>
      </c>
      <c r="D119" t="s">
        <v>23</v>
      </c>
      <c r="E119" t="s">
        <v>16</v>
      </c>
      <c r="F119" s="4">
        <v>40</v>
      </c>
      <c r="G119" s="4">
        <v>30</v>
      </c>
      <c r="H119" s="4">
        <v>16</v>
      </c>
      <c r="I119" t="s">
        <v>25</v>
      </c>
      <c r="J119" t="s">
        <v>14</v>
      </c>
      <c r="K119">
        <f t="shared" si="12"/>
        <v>1200</v>
      </c>
      <c r="L119">
        <f t="shared" si="13"/>
        <v>640</v>
      </c>
      <c r="M119">
        <f t="shared" si="14"/>
        <v>560</v>
      </c>
      <c r="N119">
        <f t="shared" si="15"/>
        <v>2023</v>
      </c>
    </row>
    <row r="120" spans="1:14" hidden="1" x14ac:dyDescent="0.2">
      <c r="A120" s="2">
        <v>45285</v>
      </c>
      <c r="B120" t="s">
        <v>18</v>
      </c>
      <c r="C120" t="s">
        <v>28</v>
      </c>
      <c r="D120" t="s">
        <v>23</v>
      </c>
      <c r="E120" t="s">
        <v>16</v>
      </c>
      <c r="F120" s="4">
        <v>68</v>
      </c>
      <c r="G120" s="4">
        <v>40</v>
      </c>
      <c r="H120" s="4">
        <v>16</v>
      </c>
      <c r="I120" t="s">
        <v>25</v>
      </c>
      <c r="J120" t="s">
        <v>19</v>
      </c>
      <c r="K120">
        <f t="shared" si="12"/>
        <v>2720</v>
      </c>
      <c r="L120">
        <f t="shared" si="13"/>
        <v>1088</v>
      </c>
      <c r="M120">
        <f t="shared" si="14"/>
        <v>1632</v>
      </c>
      <c r="N120">
        <f t="shared" si="15"/>
        <v>2023</v>
      </c>
    </row>
    <row r="121" spans="1:14" x14ac:dyDescent="0.2">
      <c r="A121" s="2">
        <v>44793</v>
      </c>
      <c r="B121" t="s">
        <v>17</v>
      </c>
      <c r="C121" t="s">
        <v>27</v>
      </c>
      <c r="D121" t="s">
        <v>20</v>
      </c>
      <c r="E121" t="s">
        <v>12</v>
      </c>
      <c r="F121" s="4">
        <v>40</v>
      </c>
      <c r="G121" s="4">
        <v>28</v>
      </c>
      <c r="H121" s="4">
        <v>13</v>
      </c>
      <c r="I121" t="s">
        <v>21</v>
      </c>
      <c r="J121" t="s">
        <v>14</v>
      </c>
      <c r="K121">
        <f t="shared" si="12"/>
        <v>1120</v>
      </c>
      <c r="L121">
        <f t="shared" si="13"/>
        <v>520</v>
      </c>
      <c r="M121">
        <f t="shared" si="14"/>
        <v>600</v>
      </c>
      <c r="N121">
        <f t="shared" si="15"/>
        <v>2022</v>
      </c>
    </row>
    <row r="122" spans="1:14" hidden="1" x14ac:dyDescent="0.2">
      <c r="A122" s="2">
        <v>45158</v>
      </c>
      <c r="B122" t="s">
        <v>17</v>
      </c>
      <c r="C122" t="s">
        <v>27</v>
      </c>
      <c r="D122" t="s">
        <v>20</v>
      </c>
      <c r="E122" t="s">
        <v>12</v>
      </c>
      <c r="F122" s="4">
        <v>42</v>
      </c>
      <c r="G122" s="4">
        <v>28</v>
      </c>
      <c r="H122" s="4">
        <v>14</v>
      </c>
      <c r="I122" t="s">
        <v>21</v>
      </c>
      <c r="J122" t="s">
        <v>14</v>
      </c>
      <c r="K122">
        <f t="shared" si="12"/>
        <v>1176</v>
      </c>
      <c r="L122">
        <f t="shared" si="13"/>
        <v>588</v>
      </c>
      <c r="M122">
        <f t="shared" si="14"/>
        <v>588</v>
      </c>
      <c r="N122">
        <f t="shared" si="15"/>
        <v>2023</v>
      </c>
    </row>
    <row r="123" spans="1:14" x14ac:dyDescent="0.2">
      <c r="A123" s="2">
        <v>44750</v>
      </c>
      <c r="B123" t="s">
        <v>17</v>
      </c>
      <c r="C123" t="s">
        <v>29</v>
      </c>
      <c r="D123" t="s">
        <v>20</v>
      </c>
      <c r="E123" t="s">
        <v>12</v>
      </c>
      <c r="F123" s="4">
        <v>38</v>
      </c>
      <c r="G123" s="4">
        <v>28</v>
      </c>
      <c r="H123" s="4">
        <v>13</v>
      </c>
      <c r="I123" t="s">
        <v>21</v>
      </c>
      <c r="J123" t="s">
        <v>14</v>
      </c>
      <c r="K123">
        <f t="shared" si="12"/>
        <v>1064</v>
      </c>
      <c r="L123">
        <f t="shared" si="13"/>
        <v>494</v>
      </c>
      <c r="M123">
        <f t="shared" si="14"/>
        <v>570</v>
      </c>
      <c r="N123">
        <f t="shared" si="15"/>
        <v>2022</v>
      </c>
    </row>
    <row r="124" spans="1:14" x14ac:dyDescent="0.2">
      <c r="A124" s="2">
        <v>44826</v>
      </c>
      <c r="B124" t="s">
        <v>17</v>
      </c>
      <c r="C124" t="s">
        <v>29</v>
      </c>
      <c r="D124" t="s">
        <v>20</v>
      </c>
      <c r="E124" t="s">
        <v>12</v>
      </c>
      <c r="F124" s="4">
        <v>38</v>
      </c>
      <c r="G124" s="4">
        <v>28</v>
      </c>
      <c r="H124" s="4">
        <v>13</v>
      </c>
      <c r="I124" t="s">
        <v>22</v>
      </c>
      <c r="J124" t="s">
        <v>14</v>
      </c>
      <c r="K124">
        <f t="shared" si="12"/>
        <v>1064</v>
      </c>
      <c r="L124">
        <f t="shared" si="13"/>
        <v>494</v>
      </c>
      <c r="M124">
        <f t="shared" si="14"/>
        <v>570</v>
      </c>
      <c r="N124">
        <f t="shared" si="15"/>
        <v>2022</v>
      </c>
    </row>
    <row r="125" spans="1:14" hidden="1" x14ac:dyDescent="0.2">
      <c r="A125" s="2">
        <v>45115</v>
      </c>
      <c r="B125" t="s">
        <v>17</v>
      </c>
      <c r="C125" t="s">
        <v>29</v>
      </c>
      <c r="D125" t="s">
        <v>20</v>
      </c>
      <c r="E125" t="s">
        <v>12</v>
      </c>
      <c r="F125" s="4">
        <v>40</v>
      </c>
      <c r="G125" s="4">
        <v>28</v>
      </c>
      <c r="H125" s="4">
        <v>14</v>
      </c>
      <c r="I125" t="s">
        <v>21</v>
      </c>
      <c r="J125" t="s">
        <v>14</v>
      </c>
      <c r="K125">
        <f t="shared" si="12"/>
        <v>1120</v>
      </c>
      <c r="L125">
        <f t="shared" si="13"/>
        <v>560</v>
      </c>
      <c r="M125">
        <f t="shared" si="14"/>
        <v>560</v>
      </c>
      <c r="N125">
        <f t="shared" si="15"/>
        <v>2023</v>
      </c>
    </row>
    <row r="126" spans="1:14" hidden="1" x14ac:dyDescent="0.2">
      <c r="A126" s="2">
        <v>45191</v>
      </c>
      <c r="B126" t="s">
        <v>17</v>
      </c>
      <c r="C126" t="s">
        <v>29</v>
      </c>
      <c r="D126" t="s">
        <v>20</v>
      </c>
      <c r="E126" t="s">
        <v>12</v>
      </c>
      <c r="F126" s="4">
        <v>40</v>
      </c>
      <c r="G126" s="4">
        <v>28</v>
      </c>
      <c r="H126" s="4">
        <v>14</v>
      </c>
      <c r="I126" t="s">
        <v>22</v>
      </c>
      <c r="J126" t="s">
        <v>14</v>
      </c>
      <c r="K126">
        <f t="shared" si="12"/>
        <v>1120</v>
      </c>
      <c r="L126">
        <f t="shared" si="13"/>
        <v>560</v>
      </c>
      <c r="M126">
        <f t="shared" si="14"/>
        <v>560</v>
      </c>
      <c r="N126">
        <f t="shared" si="15"/>
        <v>2023</v>
      </c>
    </row>
    <row r="127" spans="1:14" x14ac:dyDescent="0.2">
      <c r="A127" s="2">
        <v>44767</v>
      </c>
      <c r="B127" t="s">
        <v>17</v>
      </c>
      <c r="C127" t="s">
        <v>28</v>
      </c>
      <c r="D127" t="s">
        <v>20</v>
      </c>
      <c r="E127" t="s">
        <v>12</v>
      </c>
      <c r="F127" s="4">
        <v>35</v>
      </c>
      <c r="G127" s="4">
        <v>28</v>
      </c>
      <c r="H127" s="4">
        <v>13</v>
      </c>
      <c r="I127" t="s">
        <v>21</v>
      </c>
      <c r="J127" t="s">
        <v>14</v>
      </c>
      <c r="K127">
        <f t="shared" si="12"/>
        <v>980</v>
      </c>
      <c r="L127">
        <f t="shared" si="13"/>
        <v>455</v>
      </c>
      <c r="M127">
        <f t="shared" si="14"/>
        <v>525</v>
      </c>
      <c r="N127">
        <f t="shared" si="15"/>
        <v>2022</v>
      </c>
    </row>
    <row r="128" spans="1:14" hidden="1" x14ac:dyDescent="0.2">
      <c r="A128" s="2">
        <v>45132</v>
      </c>
      <c r="B128" t="s">
        <v>17</v>
      </c>
      <c r="C128" t="s">
        <v>28</v>
      </c>
      <c r="D128" t="s">
        <v>20</v>
      </c>
      <c r="E128" t="s">
        <v>12</v>
      </c>
      <c r="F128" s="4">
        <v>38</v>
      </c>
      <c r="G128" s="4">
        <v>28</v>
      </c>
      <c r="H128" s="4">
        <v>14</v>
      </c>
      <c r="I128" t="s">
        <v>21</v>
      </c>
      <c r="J128" t="s">
        <v>14</v>
      </c>
      <c r="K128">
        <f t="shared" si="12"/>
        <v>1064</v>
      </c>
      <c r="L128">
        <f t="shared" si="13"/>
        <v>532</v>
      </c>
      <c r="M128">
        <f t="shared" si="14"/>
        <v>532</v>
      </c>
      <c r="N128">
        <f t="shared" si="15"/>
        <v>2023</v>
      </c>
    </row>
    <row r="129" spans="1:14" x14ac:dyDescent="0.2">
      <c r="A129" s="2">
        <v>44669</v>
      </c>
      <c r="B129" t="s">
        <v>17</v>
      </c>
      <c r="C129" t="s">
        <v>27</v>
      </c>
      <c r="D129" t="s">
        <v>11</v>
      </c>
      <c r="E129" t="s">
        <v>12</v>
      </c>
      <c r="F129" s="4">
        <v>55</v>
      </c>
      <c r="G129" s="4">
        <v>30</v>
      </c>
      <c r="H129" s="4">
        <v>13</v>
      </c>
      <c r="I129" t="s">
        <v>13</v>
      </c>
      <c r="J129" t="s">
        <v>14</v>
      </c>
      <c r="K129">
        <f t="shared" si="12"/>
        <v>1650</v>
      </c>
      <c r="L129">
        <f t="shared" si="13"/>
        <v>715</v>
      </c>
      <c r="M129">
        <f t="shared" si="14"/>
        <v>935</v>
      </c>
      <c r="N129">
        <f t="shared" si="15"/>
        <v>2022</v>
      </c>
    </row>
    <row r="130" spans="1:14" x14ac:dyDescent="0.2">
      <c r="A130" s="2">
        <v>44730</v>
      </c>
      <c r="B130" t="s">
        <v>17</v>
      </c>
      <c r="C130" t="s">
        <v>27</v>
      </c>
      <c r="D130" t="s">
        <v>11</v>
      </c>
      <c r="E130" t="s">
        <v>12</v>
      </c>
      <c r="F130" s="4">
        <v>75</v>
      </c>
      <c r="G130" s="4">
        <v>32</v>
      </c>
      <c r="H130" s="4">
        <v>13</v>
      </c>
      <c r="I130" t="s">
        <v>13</v>
      </c>
      <c r="J130" t="s">
        <v>14</v>
      </c>
      <c r="K130">
        <f t="shared" ref="K130:K147" si="16">F130*G130</f>
        <v>2400</v>
      </c>
      <c r="L130">
        <f t="shared" ref="L130:L147" si="17">F130*H130</f>
        <v>975</v>
      </c>
      <c r="M130">
        <f t="shared" ref="M130:M161" si="18">K130-L130</f>
        <v>1425</v>
      </c>
      <c r="N130">
        <f t="shared" ref="N130:N147" si="19">YEAR(A130)</f>
        <v>2022</v>
      </c>
    </row>
    <row r="131" spans="1:14" hidden="1" x14ac:dyDescent="0.2">
      <c r="A131" s="2">
        <v>45034</v>
      </c>
      <c r="B131" t="s">
        <v>17</v>
      </c>
      <c r="C131" t="s">
        <v>27</v>
      </c>
      <c r="D131" t="s">
        <v>11</v>
      </c>
      <c r="E131" t="s">
        <v>12</v>
      </c>
      <c r="F131" s="4">
        <v>58</v>
      </c>
      <c r="G131" s="4">
        <v>30</v>
      </c>
      <c r="H131" s="4">
        <v>14</v>
      </c>
      <c r="I131" t="s">
        <v>13</v>
      </c>
      <c r="J131" t="s">
        <v>14</v>
      </c>
      <c r="K131">
        <f t="shared" si="16"/>
        <v>1740</v>
      </c>
      <c r="L131">
        <f t="shared" si="17"/>
        <v>812</v>
      </c>
      <c r="M131">
        <f t="shared" si="18"/>
        <v>928</v>
      </c>
      <c r="N131">
        <f t="shared" si="19"/>
        <v>2023</v>
      </c>
    </row>
    <row r="132" spans="1:14" x14ac:dyDescent="0.2">
      <c r="A132" s="2">
        <v>44656</v>
      </c>
      <c r="B132" t="s">
        <v>17</v>
      </c>
      <c r="C132" t="s">
        <v>29</v>
      </c>
      <c r="D132" t="s">
        <v>11</v>
      </c>
      <c r="E132" t="s">
        <v>12</v>
      </c>
      <c r="F132" s="4">
        <v>50</v>
      </c>
      <c r="G132" s="4">
        <v>30</v>
      </c>
      <c r="H132" s="4">
        <v>13</v>
      </c>
      <c r="I132" t="s">
        <v>13</v>
      </c>
      <c r="J132" t="s">
        <v>14</v>
      </c>
      <c r="K132">
        <f t="shared" si="16"/>
        <v>1500</v>
      </c>
      <c r="L132">
        <f t="shared" si="17"/>
        <v>650</v>
      </c>
      <c r="M132">
        <f t="shared" si="18"/>
        <v>850</v>
      </c>
      <c r="N132">
        <f t="shared" si="19"/>
        <v>2022</v>
      </c>
    </row>
    <row r="133" spans="1:14" x14ac:dyDescent="0.2">
      <c r="A133" s="2">
        <v>44689</v>
      </c>
      <c r="B133" t="s">
        <v>17</v>
      </c>
      <c r="C133" t="s">
        <v>29</v>
      </c>
      <c r="D133" t="s">
        <v>11</v>
      </c>
      <c r="E133" t="s">
        <v>12</v>
      </c>
      <c r="F133" s="4">
        <v>60</v>
      </c>
      <c r="G133" s="4">
        <v>30</v>
      </c>
      <c r="H133" s="4">
        <v>13</v>
      </c>
      <c r="I133" t="s">
        <v>31</v>
      </c>
      <c r="J133" t="s">
        <v>14</v>
      </c>
      <c r="K133">
        <f t="shared" si="16"/>
        <v>1800</v>
      </c>
      <c r="L133">
        <f t="shared" si="17"/>
        <v>780</v>
      </c>
      <c r="M133">
        <f t="shared" si="18"/>
        <v>1020</v>
      </c>
      <c r="N133">
        <f t="shared" si="19"/>
        <v>2022</v>
      </c>
    </row>
    <row r="134" spans="1:14" hidden="1" x14ac:dyDescent="0.2">
      <c r="A134" s="2">
        <v>45024</v>
      </c>
      <c r="B134" t="s">
        <v>17</v>
      </c>
      <c r="C134" t="s">
        <v>29</v>
      </c>
      <c r="D134" t="s">
        <v>11</v>
      </c>
      <c r="E134" t="s">
        <v>12</v>
      </c>
      <c r="F134" s="4">
        <v>55</v>
      </c>
      <c r="G134" s="4">
        <v>30</v>
      </c>
      <c r="H134" s="4">
        <v>14</v>
      </c>
      <c r="I134" t="s">
        <v>13</v>
      </c>
      <c r="J134" t="s">
        <v>14</v>
      </c>
      <c r="K134">
        <f t="shared" si="16"/>
        <v>1650</v>
      </c>
      <c r="L134">
        <f t="shared" si="17"/>
        <v>770</v>
      </c>
      <c r="M134">
        <f t="shared" si="18"/>
        <v>880</v>
      </c>
      <c r="N134">
        <f t="shared" si="19"/>
        <v>2023</v>
      </c>
    </row>
    <row r="135" spans="1:14" hidden="1" x14ac:dyDescent="0.2">
      <c r="A135" s="2">
        <v>45074</v>
      </c>
      <c r="B135" t="s">
        <v>17</v>
      </c>
      <c r="C135" t="s">
        <v>29</v>
      </c>
      <c r="D135" t="s">
        <v>11</v>
      </c>
      <c r="E135" t="s">
        <v>12</v>
      </c>
      <c r="F135" s="4">
        <v>68</v>
      </c>
      <c r="G135" s="4">
        <v>32</v>
      </c>
      <c r="H135" s="4">
        <v>14</v>
      </c>
      <c r="I135" t="s">
        <v>31</v>
      </c>
      <c r="J135" t="s">
        <v>14</v>
      </c>
      <c r="K135">
        <f t="shared" si="16"/>
        <v>2176</v>
      </c>
      <c r="L135">
        <f t="shared" si="17"/>
        <v>952</v>
      </c>
      <c r="M135">
        <f t="shared" si="18"/>
        <v>1224</v>
      </c>
      <c r="N135">
        <f t="shared" si="19"/>
        <v>2023</v>
      </c>
    </row>
    <row r="136" spans="1:14" x14ac:dyDescent="0.2">
      <c r="A136" s="2">
        <v>44709</v>
      </c>
      <c r="B136" t="s">
        <v>17</v>
      </c>
      <c r="C136" t="s">
        <v>28</v>
      </c>
      <c r="D136" t="s">
        <v>11</v>
      </c>
      <c r="E136" t="s">
        <v>12</v>
      </c>
      <c r="F136" s="4">
        <v>65</v>
      </c>
      <c r="G136" s="4">
        <v>32</v>
      </c>
      <c r="H136" s="4">
        <v>13</v>
      </c>
      <c r="I136" t="s">
        <v>31</v>
      </c>
      <c r="J136" t="s">
        <v>14</v>
      </c>
      <c r="K136">
        <f t="shared" si="16"/>
        <v>2080</v>
      </c>
      <c r="L136">
        <f t="shared" si="17"/>
        <v>845</v>
      </c>
      <c r="M136">
        <f t="shared" si="18"/>
        <v>1235</v>
      </c>
      <c r="N136">
        <f t="shared" si="19"/>
        <v>2022</v>
      </c>
    </row>
    <row r="137" spans="1:14" hidden="1" x14ac:dyDescent="0.2">
      <c r="A137" s="2">
        <v>44993</v>
      </c>
      <c r="B137" t="s">
        <v>17</v>
      </c>
      <c r="C137" t="s">
        <v>28</v>
      </c>
      <c r="D137" t="s">
        <v>11</v>
      </c>
      <c r="E137" t="s">
        <v>12</v>
      </c>
      <c r="F137" s="4">
        <v>45</v>
      </c>
      <c r="G137" s="4">
        <v>28</v>
      </c>
      <c r="H137" s="4">
        <v>13</v>
      </c>
      <c r="I137" t="s">
        <v>26</v>
      </c>
      <c r="J137" t="s">
        <v>19</v>
      </c>
      <c r="K137">
        <f t="shared" si="16"/>
        <v>1260</v>
      </c>
      <c r="L137">
        <f t="shared" si="17"/>
        <v>585</v>
      </c>
      <c r="M137">
        <f t="shared" si="18"/>
        <v>675</v>
      </c>
      <c r="N137">
        <f t="shared" si="19"/>
        <v>2023</v>
      </c>
    </row>
    <row r="138" spans="1:14" hidden="1" x14ac:dyDescent="0.2">
      <c r="A138" s="2">
        <v>45054</v>
      </c>
      <c r="B138" t="s">
        <v>17</v>
      </c>
      <c r="C138" t="s">
        <v>28</v>
      </c>
      <c r="D138" t="s">
        <v>11</v>
      </c>
      <c r="E138" t="s">
        <v>12</v>
      </c>
      <c r="F138" s="4">
        <v>62</v>
      </c>
      <c r="G138" s="4">
        <v>30</v>
      </c>
      <c r="H138" s="4">
        <v>14</v>
      </c>
      <c r="I138" t="s">
        <v>31</v>
      </c>
      <c r="J138" t="s">
        <v>14</v>
      </c>
      <c r="K138">
        <f t="shared" si="16"/>
        <v>1860</v>
      </c>
      <c r="L138">
        <f t="shared" si="17"/>
        <v>868</v>
      </c>
      <c r="M138">
        <f t="shared" si="18"/>
        <v>992</v>
      </c>
      <c r="N138">
        <f t="shared" si="19"/>
        <v>2023</v>
      </c>
    </row>
    <row r="139" spans="1:14" hidden="1" x14ac:dyDescent="0.2">
      <c r="A139" s="2">
        <v>45095</v>
      </c>
      <c r="B139" t="s">
        <v>17</v>
      </c>
      <c r="C139" t="s">
        <v>28</v>
      </c>
      <c r="D139" t="s">
        <v>11</v>
      </c>
      <c r="E139" t="s">
        <v>12</v>
      </c>
      <c r="F139" s="4">
        <v>78</v>
      </c>
      <c r="G139" s="4">
        <v>32</v>
      </c>
      <c r="H139" s="4">
        <v>14</v>
      </c>
      <c r="I139" t="s">
        <v>13</v>
      </c>
      <c r="J139" t="s">
        <v>14</v>
      </c>
      <c r="K139">
        <f t="shared" si="16"/>
        <v>2496</v>
      </c>
      <c r="L139">
        <f t="shared" si="17"/>
        <v>1092</v>
      </c>
      <c r="M139">
        <f t="shared" si="18"/>
        <v>1404</v>
      </c>
      <c r="N139">
        <f t="shared" si="19"/>
        <v>2023</v>
      </c>
    </row>
    <row r="140" spans="1:14" x14ac:dyDescent="0.2">
      <c r="A140" s="2">
        <v>44846</v>
      </c>
      <c r="B140" t="s">
        <v>17</v>
      </c>
      <c r="C140" t="s">
        <v>27</v>
      </c>
      <c r="D140" t="s">
        <v>23</v>
      </c>
      <c r="E140" t="s">
        <v>12</v>
      </c>
      <c r="F140" s="4">
        <v>28</v>
      </c>
      <c r="G140" s="4">
        <v>26</v>
      </c>
      <c r="H140" s="4">
        <v>13</v>
      </c>
      <c r="I140" t="s">
        <v>24</v>
      </c>
      <c r="J140" t="s">
        <v>14</v>
      </c>
      <c r="K140">
        <f t="shared" si="16"/>
        <v>728</v>
      </c>
      <c r="L140">
        <f t="shared" si="17"/>
        <v>364</v>
      </c>
      <c r="M140">
        <f t="shared" si="18"/>
        <v>364</v>
      </c>
      <c r="N140">
        <f t="shared" si="19"/>
        <v>2022</v>
      </c>
    </row>
    <row r="141" spans="1:14" hidden="1" x14ac:dyDescent="0.2">
      <c r="A141" s="2">
        <v>44958</v>
      </c>
      <c r="B141" t="s">
        <v>17</v>
      </c>
      <c r="C141" t="s">
        <v>27</v>
      </c>
      <c r="D141" t="s">
        <v>23</v>
      </c>
      <c r="E141" t="s">
        <v>12</v>
      </c>
      <c r="F141" s="4">
        <v>25</v>
      </c>
      <c r="G141" s="4">
        <v>26</v>
      </c>
      <c r="H141" s="4">
        <v>13</v>
      </c>
      <c r="I141" t="s">
        <v>25</v>
      </c>
      <c r="J141" t="s">
        <v>14</v>
      </c>
      <c r="K141">
        <f t="shared" si="16"/>
        <v>650</v>
      </c>
      <c r="L141">
        <f t="shared" si="17"/>
        <v>325</v>
      </c>
      <c r="M141">
        <f t="shared" si="18"/>
        <v>325</v>
      </c>
      <c r="N141">
        <f t="shared" si="19"/>
        <v>2023</v>
      </c>
    </row>
    <row r="142" spans="1:14" hidden="1" x14ac:dyDescent="0.2">
      <c r="A142" s="2">
        <v>45211</v>
      </c>
      <c r="B142" t="s">
        <v>17</v>
      </c>
      <c r="C142" t="s">
        <v>27</v>
      </c>
      <c r="D142" t="s">
        <v>23</v>
      </c>
      <c r="E142" t="s">
        <v>12</v>
      </c>
      <c r="F142" s="4">
        <v>30</v>
      </c>
      <c r="G142" s="4">
        <v>26</v>
      </c>
      <c r="H142" s="4">
        <v>14</v>
      </c>
      <c r="I142" t="s">
        <v>24</v>
      </c>
      <c r="J142" t="s">
        <v>14</v>
      </c>
      <c r="K142">
        <f t="shared" si="16"/>
        <v>780</v>
      </c>
      <c r="L142">
        <f t="shared" si="17"/>
        <v>420</v>
      </c>
      <c r="M142">
        <f t="shared" si="18"/>
        <v>360</v>
      </c>
      <c r="N142">
        <f t="shared" si="19"/>
        <v>2023</v>
      </c>
    </row>
    <row r="143" spans="1:14" x14ac:dyDescent="0.2">
      <c r="A143" s="2">
        <v>44870</v>
      </c>
      <c r="B143" t="s">
        <v>17</v>
      </c>
      <c r="C143" t="s">
        <v>29</v>
      </c>
      <c r="D143" t="s">
        <v>23</v>
      </c>
      <c r="E143" t="s">
        <v>12</v>
      </c>
      <c r="F143" s="4">
        <v>25</v>
      </c>
      <c r="G143" s="4">
        <v>26</v>
      </c>
      <c r="H143" s="4">
        <v>13</v>
      </c>
      <c r="I143" t="s">
        <v>25</v>
      </c>
      <c r="J143" t="s">
        <v>14</v>
      </c>
      <c r="K143">
        <f t="shared" si="16"/>
        <v>650</v>
      </c>
      <c r="L143">
        <f t="shared" si="17"/>
        <v>325</v>
      </c>
      <c r="M143">
        <f t="shared" si="18"/>
        <v>325</v>
      </c>
      <c r="N143">
        <f t="shared" si="19"/>
        <v>2022</v>
      </c>
    </row>
    <row r="144" spans="1:14" x14ac:dyDescent="0.2">
      <c r="A144" s="2">
        <v>44905</v>
      </c>
      <c r="B144" t="s">
        <v>17</v>
      </c>
      <c r="C144" t="s">
        <v>29</v>
      </c>
      <c r="D144" t="s">
        <v>23</v>
      </c>
      <c r="E144" t="s">
        <v>12</v>
      </c>
      <c r="F144" s="4">
        <v>22</v>
      </c>
      <c r="G144" s="4">
        <v>26</v>
      </c>
      <c r="H144" s="4">
        <v>13</v>
      </c>
      <c r="I144" t="s">
        <v>25</v>
      </c>
      <c r="J144" t="s">
        <v>14</v>
      </c>
      <c r="K144">
        <f t="shared" si="16"/>
        <v>572</v>
      </c>
      <c r="L144">
        <f t="shared" si="17"/>
        <v>286</v>
      </c>
      <c r="M144">
        <f t="shared" si="18"/>
        <v>286</v>
      </c>
      <c r="N144">
        <f t="shared" si="19"/>
        <v>2022</v>
      </c>
    </row>
    <row r="145" spans="1:14" hidden="1" x14ac:dyDescent="0.2">
      <c r="A145" s="2">
        <v>44927</v>
      </c>
      <c r="B145" t="s">
        <v>17</v>
      </c>
      <c r="C145" t="s">
        <v>29</v>
      </c>
      <c r="D145" t="s">
        <v>23</v>
      </c>
      <c r="E145" t="s">
        <v>12</v>
      </c>
      <c r="F145" s="4">
        <v>22</v>
      </c>
      <c r="G145" s="4">
        <v>26</v>
      </c>
      <c r="H145" s="4">
        <v>13</v>
      </c>
      <c r="I145" t="s">
        <v>32</v>
      </c>
      <c r="J145" t="s">
        <v>14</v>
      </c>
      <c r="K145">
        <f t="shared" si="16"/>
        <v>572</v>
      </c>
      <c r="L145">
        <f t="shared" si="17"/>
        <v>286</v>
      </c>
      <c r="M145">
        <f t="shared" si="18"/>
        <v>286</v>
      </c>
      <c r="N145">
        <f t="shared" si="19"/>
        <v>2023</v>
      </c>
    </row>
    <row r="146" spans="1:14" hidden="1" x14ac:dyDescent="0.2">
      <c r="A146" s="2">
        <v>45235</v>
      </c>
      <c r="B146" t="s">
        <v>17</v>
      </c>
      <c r="C146" t="s">
        <v>29</v>
      </c>
      <c r="D146" t="s">
        <v>23</v>
      </c>
      <c r="E146" t="s">
        <v>12</v>
      </c>
      <c r="F146" s="4">
        <v>28</v>
      </c>
      <c r="G146" s="4">
        <v>26</v>
      </c>
      <c r="H146" s="4">
        <v>14</v>
      </c>
      <c r="I146" t="s">
        <v>25</v>
      </c>
      <c r="J146" t="s">
        <v>14</v>
      </c>
      <c r="K146">
        <f t="shared" si="16"/>
        <v>728</v>
      </c>
      <c r="L146">
        <f t="shared" si="17"/>
        <v>392</v>
      </c>
      <c r="M146">
        <f t="shared" si="18"/>
        <v>336</v>
      </c>
      <c r="N146">
        <f t="shared" si="19"/>
        <v>2023</v>
      </c>
    </row>
    <row r="147" spans="1:14" hidden="1" x14ac:dyDescent="0.2">
      <c r="A147" s="2">
        <v>45270</v>
      </c>
      <c r="B147" t="s">
        <v>17</v>
      </c>
      <c r="C147" t="s">
        <v>29</v>
      </c>
      <c r="D147" t="s">
        <v>23</v>
      </c>
      <c r="E147" t="s">
        <v>12</v>
      </c>
      <c r="F147" s="4">
        <v>24</v>
      </c>
      <c r="G147" s="4">
        <v>26</v>
      </c>
      <c r="H147" s="4">
        <v>14</v>
      </c>
      <c r="I147" t="s">
        <v>25</v>
      </c>
      <c r="J147" t="s">
        <v>14</v>
      </c>
      <c r="K147">
        <f t="shared" si="16"/>
        <v>624</v>
      </c>
      <c r="L147">
        <f t="shared" si="17"/>
        <v>336</v>
      </c>
      <c r="M147">
        <f t="shared" si="18"/>
        <v>288</v>
      </c>
      <c r="N147">
        <f t="shared" si="19"/>
        <v>2023</v>
      </c>
    </row>
    <row r="148" spans="1:14" x14ac:dyDescent="0.2">
      <c r="F148"/>
      <c r="G148"/>
      <c r="H148"/>
    </row>
    <row r="149" spans="1:14" x14ac:dyDescent="0.2">
      <c r="F149"/>
      <c r="G149"/>
      <c r="H149"/>
    </row>
    <row r="150" spans="1:14" x14ac:dyDescent="0.2">
      <c r="A150" s="2"/>
    </row>
    <row r="164" spans="4:4" x14ac:dyDescent="0.2">
      <c r="D164" s="6" t="s">
        <v>41</v>
      </c>
    </row>
  </sheetData>
  <autoFilter ref="A1:N147" xr:uid="{491603F2-EFCD-354D-8FB6-49A05052500C}">
    <filterColumn colId="0">
      <filters>
        <dateGroupItem year="2022" dateTimeGrouping="year"/>
      </filters>
    </filterColumn>
  </autoFilter>
  <sortState xmlns:xlrd2="http://schemas.microsoft.com/office/spreadsheetml/2017/richdata2" ref="A2:N147">
    <sortCondition ref="B2:B147"/>
    <sortCondition ref="D2:D147"/>
    <sortCondition ref="C2:C147"/>
  </sortState>
  <conditionalFormatting sqref="A1:J147">
    <cfRule type="containsBlanks" dxfId="1" priority="3">
      <formula>LEN(TRIM(A1))=0</formula>
    </cfRule>
  </conditionalFormatting>
  <conditionalFormatting sqref="G1">
    <cfRule type="expression" dxfId="0" priority="2">
      <formula>ISNUMBER(G2)= FALSE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979DF-2BF9-3341-BB37-5437B40D5B33}">
  <sheetPr codeName="Sheet9"/>
  <dimension ref="A2:J148"/>
  <sheetViews>
    <sheetView topLeftCell="B1" zoomScale="75" zoomScaleNormal="68" workbookViewId="0">
      <selection activeCell="J3" sqref="J3"/>
    </sheetView>
  </sheetViews>
  <sheetFormatPr baseColWidth="10" defaultColWidth="14" defaultRowHeight="16" x14ac:dyDescent="0.2"/>
  <sheetData>
    <row r="2" spans="1:10" x14ac:dyDescent="0.2">
      <c r="A2" s="1" t="s">
        <v>0</v>
      </c>
      <c r="B2" s="1" t="s">
        <v>1</v>
      </c>
      <c r="C2" s="1" t="s">
        <v>2</v>
      </c>
      <c r="D2" s="1" t="s">
        <v>3</v>
      </c>
      <c r="E2" s="1" t="s">
        <v>4</v>
      </c>
      <c r="F2" s="1" t="s">
        <v>5</v>
      </c>
      <c r="G2" s="1" t="s">
        <v>6</v>
      </c>
      <c r="H2" s="1" t="s">
        <v>7</v>
      </c>
      <c r="I2" s="1" t="s">
        <v>8</v>
      </c>
      <c r="J2" s="1" t="s">
        <v>9</v>
      </c>
    </row>
    <row r="3" spans="1:10" x14ac:dyDescent="0.2">
      <c r="A3" s="2">
        <v>44652</v>
      </c>
      <c r="B3" t="s">
        <v>10</v>
      </c>
      <c r="C3" t="s">
        <v>27</v>
      </c>
      <c r="D3" t="s">
        <v>11</v>
      </c>
      <c r="E3" t="s">
        <v>12</v>
      </c>
      <c r="F3">
        <v>75</v>
      </c>
      <c r="G3">
        <v>35</v>
      </c>
      <c r="H3">
        <v>16</v>
      </c>
      <c r="I3" t="s">
        <v>13</v>
      </c>
      <c r="J3" t="s">
        <v>14</v>
      </c>
    </row>
    <row r="4" spans="1:10" x14ac:dyDescent="0.2">
      <c r="A4" s="2">
        <v>44653</v>
      </c>
      <c r="B4" t="s">
        <v>15</v>
      </c>
      <c r="C4" t="s">
        <v>28</v>
      </c>
      <c r="D4" t="s">
        <v>11</v>
      </c>
      <c r="E4" t="s">
        <v>16</v>
      </c>
      <c r="F4">
        <v>65</v>
      </c>
      <c r="G4">
        <v>40</v>
      </c>
      <c r="H4">
        <v>18</v>
      </c>
      <c r="I4" t="s">
        <v>13</v>
      </c>
      <c r="J4" t="s">
        <v>14</v>
      </c>
    </row>
    <row r="5" spans="1:10" x14ac:dyDescent="0.2">
      <c r="A5" s="2">
        <v>44656</v>
      </c>
      <c r="B5" t="s">
        <v>17</v>
      </c>
      <c r="C5" t="s">
        <v>29</v>
      </c>
      <c r="D5" t="s">
        <v>11</v>
      </c>
      <c r="E5" t="s">
        <v>12</v>
      </c>
      <c r="F5">
        <v>50</v>
      </c>
      <c r="G5">
        <v>30</v>
      </c>
      <c r="H5">
        <v>13</v>
      </c>
      <c r="I5" t="s">
        <v>13</v>
      </c>
      <c r="J5" t="s">
        <v>14</v>
      </c>
    </row>
    <row r="6" spans="1:10" x14ac:dyDescent="0.2">
      <c r="A6" s="2">
        <v>44659</v>
      </c>
      <c r="B6" t="s">
        <v>18</v>
      </c>
      <c r="C6" t="s">
        <v>27</v>
      </c>
      <c r="D6" t="s">
        <v>11</v>
      </c>
      <c r="E6" t="s">
        <v>16</v>
      </c>
      <c r="F6">
        <v>55</v>
      </c>
      <c r="G6">
        <v>35</v>
      </c>
      <c r="H6">
        <v>15</v>
      </c>
      <c r="I6" t="s">
        <v>13</v>
      </c>
      <c r="J6" t="s">
        <v>14</v>
      </c>
    </row>
    <row r="7" spans="1:10" x14ac:dyDescent="0.2">
      <c r="A7" s="2">
        <v>44661</v>
      </c>
      <c r="B7" t="s">
        <v>30</v>
      </c>
      <c r="C7" t="s">
        <v>28</v>
      </c>
      <c r="D7" t="s">
        <v>11</v>
      </c>
      <c r="E7" t="s">
        <v>12</v>
      </c>
      <c r="F7">
        <v>40</v>
      </c>
      <c r="G7">
        <v>55</v>
      </c>
      <c r="H7">
        <v>22</v>
      </c>
      <c r="I7" t="s">
        <v>13</v>
      </c>
      <c r="J7" t="s">
        <v>14</v>
      </c>
    </row>
    <row r="8" spans="1:10" x14ac:dyDescent="0.2">
      <c r="A8" s="2">
        <v>44665</v>
      </c>
      <c r="B8" t="s">
        <v>10</v>
      </c>
      <c r="C8" t="s">
        <v>27</v>
      </c>
      <c r="D8" t="s">
        <v>11</v>
      </c>
      <c r="E8" t="s">
        <v>16</v>
      </c>
      <c r="F8">
        <v>130</v>
      </c>
      <c r="G8">
        <v>38</v>
      </c>
      <c r="H8">
        <v>16</v>
      </c>
      <c r="I8" t="s">
        <v>13</v>
      </c>
      <c r="J8" t="s">
        <v>19</v>
      </c>
    </row>
    <row r="9" spans="1:10" x14ac:dyDescent="0.2">
      <c r="A9" s="2">
        <v>44665</v>
      </c>
      <c r="B9" t="s">
        <v>15</v>
      </c>
      <c r="C9" t="s">
        <v>29</v>
      </c>
      <c r="D9" t="s">
        <v>11</v>
      </c>
      <c r="E9" t="s">
        <v>16</v>
      </c>
      <c r="F9">
        <v>95</v>
      </c>
      <c r="G9">
        <v>42</v>
      </c>
      <c r="H9">
        <v>18</v>
      </c>
      <c r="I9" t="s">
        <v>13</v>
      </c>
      <c r="J9" t="s">
        <v>19</v>
      </c>
    </row>
    <row r="10" spans="1:10" x14ac:dyDescent="0.2">
      <c r="A10" s="2">
        <v>44665</v>
      </c>
      <c r="B10" t="s">
        <v>18</v>
      </c>
      <c r="C10" t="s">
        <v>28</v>
      </c>
      <c r="D10" t="s">
        <v>11</v>
      </c>
      <c r="E10" t="s">
        <v>16</v>
      </c>
      <c r="F10">
        <v>85</v>
      </c>
      <c r="G10">
        <v>38</v>
      </c>
      <c r="H10">
        <v>15</v>
      </c>
      <c r="I10" t="s">
        <v>13</v>
      </c>
      <c r="J10" t="s">
        <v>19</v>
      </c>
    </row>
    <row r="11" spans="1:10" x14ac:dyDescent="0.2">
      <c r="A11" s="2">
        <v>44669</v>
      </c>
      <c r="B11" t="s">
        <v>17</v>
      </c>
      <c r="C11" t="s">
        <v>27</v>
      </c>
      <c r="D11" t="s">
        <v>11</v>
      </c>
      <c r="E11" t="s">
        <v>12</v>
      </c>
      <c r="F11">
        <v>55</v>
      </c>
      <c r="G11">
        <v>30</v>
      </c>
      <c r="H11">
        <v>13</v>
      </c>
      <c r="I11" t="s">
        <v>13</v>
      </c>
      <c r="J11" t="s">
        <v>14</v>
      </c>
    </row>
    <row r="12" spans="1:10" x14ac:dyDescent="0.2">
      <c r="A12" s="2">
        <v>44673</v>
      </c>
      <c r="B12" t="s">
        <v>10</v>
      </c>
      <c r="C12" t="s">
        <v>29</v>
      </c>
      <c r="D12" t="s">
        <v>11</v>
      </c>
      <c r="E12" t="s">
        <v>12</v>
      </c>
      <c r="F12">
        <v>80</v>
      </c>
      <c r="G12">
        <v>35</v>
      </c>
      <c r="H12">
        <v>16</v>
      </c>
      <c r="I12" t="s">
        <v>13</v>
      </c>
      <c r="J12" t="s">
        <v>14</v>
      </c>
    </row>
    <row r="13" spans="1:10" x14ac:dyDescent="0.2">
      <c r="A13" s="2">
        <v>44676</v>
      </c>
      <c r="B13" t="s">
        <v>15</v>
      </c>
      <c r="C13" t="s">
        <v>27</v>
      </c>
      <c r="D13" t="s">
        <v>11</v>
      </c>
      <c r="E13" t="s">
        <v>16</v>
      </c>
      <c r="F13">
        <v>90</v>
      </c>
      <c r="G13">
        <v>40</v>
      </c>
      <c r="H13">
        <v>18</v>
      </c>
      <c r="I13" t="s">
        <v>13</v>
      </c>
      <c r="J13" t="s">
        <v>14</v>
      </c>
    </row>
    <row r="14" spans="1:10" x14ac:dyDescent="0.2">
      <c r="A14" s="2">
        <v>44682</v>
      </c>
      <c r="B14" t="s">
        <v>10</v>
      </c>
      <c r="C14" t="s">
        <v>27</v>
      </c>
      <c r="D14" t="s">
        <v>11</v>
      </c>
      <c r="E14" t="s">
        <v>12</v>
      </c>
      <c r="F14">
        <v>90</v>
      </c>
      <c r="G14">
        <v>38</v>
      </c>
      <c r="H14">
        <v>16</v>
      </c>
      <c r="I14" t="s">
        <v>13</v>
      </c>
      <c r="J14" t="s">
        <v>14</v>
      </c>
    </row>
    <row r="15" spans="1:10" x14ac:dyDescent="0.2">
      <c r="A15" s="2">
        <v>44686</v>
      </c>
      <c r="B15" t="s">
        <v>30</v>
      </c>
      <c r="C15" t="s">
        <v>28</v>
      </c>
      <c r="D15" t="s">
        <v>11</v>
      </c>
      <c r="E15" t="s">
        <v>16</v>
      </c>
      <c r="F15">
        <v>55</v>
      </c>
      <c r="G15">
        <v>58</v>
      </c>
      <c r="H15">
        <v>22</v>
      </c>
      <c r="I15" t="s">
        <v>13</v>
      </c>
      <c r="J15" t="s">
        <v>14</v>
      </c>
    </row>
    <row r="16" spans="1:10" x14ac:dyDescent="0.2">
      <c r="A16" s="2">
        <v>44689</v>
      </c>
      <c r="B16" t="s">
        <v>17</v>
      </c>
      <c r="C16" t="s">
        <v>29</v>
      </c>
      <c r="D16" t="s">
        <v>11</v>
      </c>
      <c r="E16" t="s">
        <v>12</v>
      </c>
      <c r="F16">
        <v>60</v>
      </c>
      <c r="G16">
        <v>30</v>
      </c>
      <c r="H16">
        <v>13</v>
      </c>
      <c r="I16" t="s">
        <v>31</v>
      </c>
      <c r="J16" t="s">
        <v>14</v>
      </c>
    </row>
    <row r="17" spans="1:10" x14ac:dyDescent="0.2">
      <c r="A17" s="2">
        <v>44693</v>
      </c>
      <c r="B17" t="s">
        <v>10</v>
      </c>
      <c r="C17" t="s">
        <v>27</v>
      </c>
      <c r="D17" t="s">
        <v>11</v>
      </c>
      <c r="E17" t="s">
        <v>16</v>
      </c>
      <c r="F17">
        <v>140</v>
      </c>
      <c r="G17">
        <v>40</v>
      </c>
      <c r="H17">
        <v>16</v>
      </c>
      <c r="I17" t="s">
        <v>31</v>
      </c>
      <c r="J17" t="s">
        <v>14</v>
      </c>
    </row>
    <row r="18" spans="1:10" x14ac:dyDescent="0.2">
      <c r="A18" s="2">
        <v>44696</v>
      </c>
      <c r="B18" t="s">
        <v>15</v>
      </c>
      <c r="C18" t="s">
        <v>28</v>
      </c>
      <c r="D18" t="s">
        <v>11</v>
      </c>
      <c r="E18" t="s">
        <v>12</v>
      </c>
      <c r="F18">
        <v>85</v>
      </c>
      <c r="G18">
        <v>42</v>
      </c>
      <c r="H18">
        <v>18</v>
      </c>
      <c r="I18" t="s">
        <v>31</v>
      </c>
      <c r="J18" t="s">
        <v>14</v>
      </c>
    </row>
    <row r="19" spans="1:10" x14ac:dyDescent="0.2">
      <c r="A19" s="2">
        <v>44699</v>
      </c>
      <c r="B19" t="s">
        <v>18</v>
      </c>
      <c r="C19" t="s">
        <v>29</v>
      </c>
      <c r="D19" t="s">
        <v>11</v>
      </c>
      <c r="E19" t="s">
        <v>16</v>
      </c>
      <c r="F19">
        <v>100</v>
      </c>
      <c r="G19">
        <v>38</v>
      </c>
      <c r="H19">
        <v>15</v>
      </c>
      <c r="I19" t="s">
        <v>31</v>
      </c>
      <c r="J19" t="s">
        <v>14</v>
      </c>
    </row>
    <row r="20" spans="1:10" x14ac:dyDescent="0.2">
      <c r="A20" s="2">
        <v>44703</v>
      </c>
      <c r="B20" t="s">
        <v>10</v>
      </c>
      <c r="C20" t="s">
        <v>27</v>
      </c>
      <c r="D20" t="s">
        <v>11</v>
      </c>
      <c r="E20" t="s">
        <v>12</v>
      </c>
      <c r="F20">
        <v>105</v>
      </c>
      <c r="G20">
        <v>40</v>
      </c>
      <c r="H20">
        <v>16</v>
      </c>
      <c r="I20" t="s">
        <v>31</v>
      </c>
      <c r="J20" t="s">
        <v>14</v>
      </c>
    </row>
    <row r="21" spans="1:10" x14ac:dyDescent="0.2">
      <c r="A21" s="2">
        <v>44706</v>
      </c>
      <c r="B21" t="s">
        <v>30</v>
      </c>
      <c r="C21" t="s">
        <v>27</v>
      </c>
      <c r="D21" t="s">
        <v>11</v>
      </c>
      <c r="E21" t="s">
        <v>16</v>
      </c>
      <c r="F21">
        <v>65</v>
      </c>
      <c r="G21">
        <v>60</v>
      </c>
      <c r="H21">
        <v>22</v>
      </c>
      <c r="I21" t="s">
        <v>31</v>
      </c>
      <c r="J21" t="s">
        <v>14</v>
      </c>
    </row>
    <row r="22" spans="1:10" x14ac:dyDescent="0.2">
      <c r="A22" s="2">
        <v>44709</v>
      </c>
      <c r="B22" t="s">
        <v>17</v>
      </c>
      <c r="C22" t="s">
        <v>28</v>
      </c>
      <c r="D22" t="s">
        <v>11</v>
      </c>
      <c r="E22" t="s">
        <v>12</v>
      </c>
      <c r="F22">
        <v>65</v>
      </c>
      <c r="G22">
        <v>32</v>
      </c>
      <c r="H22">
        <v>13</v>
      </c>
      <c r="I22" t="s">
        <v>31</v>
      </c>
      <c r="J22" t="s">
        <v>14</v>
      </c>
    </row>
    <row r="23" spans="1:10" x14ac:dyDescent="0.2">
      <c r="A23" s="2">
        <v>44713</v>
      </c>
      <c r="B23" t="s">
        <v>10</v>
      </c>
      <c r="C23" t="s">
        <v>27</v>
      </c>
      <c r="D23" t="s">
        <v>11</v>
      </c>
      <c r="E23" t="s">
        <v>12</v>
      </c>
      <c r="F23">
        <v>120</v>
      </c>
      <c r="G23">
        <v>42</v>
      </c>
      <c r="H23">
        <v>16</v>
      </c>
      <c r="I23" t="s">
        <v>31</v>
      </c>
      <c r="J23" t="s">
        <v>14</v>
      </c>
    </row>
    <row r="24" spans="1:10" x14ac:dyDescent="0.2">
      <c r="A24" s="2">
        <v>44717</v>
      </c>
      <c r="B24" t="s">
        <v>15</v>
      </c>
      <c r="C24" t="s">
        <v>29</v>
      </c>
      <c r="D24" t="s">
        <v>11</v>
      </c>
      <c r="E24" t="s">
        <v>16</v>
      </c>
      <c r="F24">
        <v>110</v>
      </c>
      <c r="G24">
        <v>44</v>
      </c>
      <c r="H24">
        <v>18</v>
      </c>
      <c r="I24" t="s">
        <v>31</v>
      </c>
      <c r="J24" t="s">
        <v>14</v>
      </c>
    </row>
    <row r="25" spans="1:10" x14ac:dyDescent="0.2">
      <c r="A25" s="2">
        <v>44720</v>
      </c>
      <c r="B25" t="s">
        <v>18</v>
      </c>
      <c r="C25" t="s">
        <v>28</v>
      </c>
      <c r="D25" t="s">
        <v>11</v>
      </c>
      <c r="E25" t="s">
        <v>12</v>
      </c>
      <c r="F25">
        <v>95</v>
      </c>
      <c r="G25">
        <v>40</v>
      </c>
      <c r="H25">
        <v>15</v>
      </c>
      <c r="I25" t="s">
        <v>31</v>
      </c>
      <c r="J25" t="s">
        <v>14</v>
      </c>
    </row>
    <row r="26" spans="1:10" x14ac:dyDescent="0.2">
      <c r="A26" s="2">
        <v>44724</v>
      </c>
      <c r="B26" t="s">
        <v>10</v>
      </c>
      <c r="C26" t="s">
        <v>27</v>
      </c>
      <c r="D26" t="s">
        <v>11</v>
      </c>
      <c r="E26" t="s">
        <v>16</v>
      </c>
      <c r="F26">
        <v>150</v>
      </c>
      <c r="G26">
        <v>44</v>
      </c>
      <c r="H26">
        <v>16</v>
      </c>
      <c r="I26" t="s">
        <v>31</v>
      </c>
      <c r="J26" t="s">
        <v>14</v>
      </c>
    </row>
    <row r="27" spans="1:10" x14ac:dyDescent="0.2">
      <c r="A27" s="2">
        <v>44727</v>
      </c>
      <c r="B27" t="s">
        <v>30</v>
      </c>
      <c r="C27" t="s">
        <v>29</v>
      </c>
      <c r="D27" t="s">
        <v>11</v>
      </c>
      <c r="E27" t="s">
        <v>12</v>
      </c>
      <c r="F27">
        <v>70</v>
      </c>
      <c r="G27">
        <v>62</v>
      </c>
      <c r="H27">
        <v>22</v>
      </c>
      <c r="I27" t="s">
        <v>13</v>
      </c>
      <c r="J27" t="s">
        <v>14</v>
      </c>
    </row>
    <row r="28" spans="1:10" x14ac:dyDescent="0.2">
      <c r="A28" s="2">
        <v>44730</v>
      </c>
      <c r="B28" t="s">
        <v>17</v>
      </c>
      <c r="C28" t="s">
        <v>27</v>
      </c>
      <c r="D28" t="s">
        <v>11</v>
      </c>
      <c r="E28" t="s">
        <v>12</v>
      </c>
      <c r="F28">
        <v>75</v>
      </c>
      <c r="G28">
        <v>32</v>
      </c>
      <c r="H28">
        <v>13</v>
      </c>
      <c r="I28" t="s">
        <v>13</v>
      </c>
      <c r="J28" t="s">
        <v>14</v>
      </c>
    </row>
    <row r="29" spans="1:10" x14ac:dyDescent="0.2">
      <c r="A29" s="2">
        <v>44734</v>
      </c>
      <c r="B29" t="s">
        <v>15</v>
      </c>
      <c r="C29" t="s">
        <v>28</v>
      </c>
      <c r="D29" t="s">
        <v>11</v>
      </c>
      <c r="E29" t="s">
        <v>16</v>
      </c>
      <c r="F29">
        <v>115</v>
      </c>
      <c r="G29">
        <v>44</v>
      </c>
      <c r="H29">
        <v>18</v>
      </c>
      <c r="I29" t="s">
        <v>13</v>
      </c>
      <c r="J29" t="s">
        <v>14</v>
      </c>
    </row>
    <row r="30" spans="1:10" x14ac:dyDescent="0.2">
      <c r="A30" s="2">
        <v>44737</v>
      </c>
      <c r="B30" t="s">
        <v>10</v>
      </c>
      <c r="C30" t="s">
        <v>29</v>
      </c>
      <c r="D30" t="s">
        <v>11</v>
      </c>
      <c r="E30" t="s">
        <v>12</v>
      </c>
      <c r="F30">
        <v>125</v>
      </c>
      <c r="G30">
        <v>42</v>
      </c>
      <c r="H30">
        <v>16</v>
      </c>
      <c r="I30" t="s">
        <v>13</v>
      </c>
      <c r="J30" t="s">
        <v>14</v>
      </c>
    </row>
    <row r="31" spans="1:10" x14ac:dyDescent="0.2">
      <c r="A31" s="2">
        <v>44743</v>
      </c>
      <c r="B31" t="s">
        <v>10</v>
      </c>
      <c r="C31" t="s">
        <v>27</v>
      </c>
      <c r="D31" t="s">
        <v>20</v>
      </c>
      <c r="E31" t="s">
        <v>12</v>
      </c>
      <c r="F31">
        <v>50</v>
      </c>
      <c r="G31">
        <v>38</v>
      </c>
      <c r="H31">
        <v>16</v>
      </c>
      <c r="I31" t="s">
        <v>21</v>
      </c>
      <c r="J31" t="s">
        <v>14</v>
      </c>
    </row>
    <row r="32" spans="1:10" x14ac:dyDescent="0.2">
      <c r="A32" s="2">
        <v>44747</v>
      </c>
      <c r="B32" t="s">
        <v>15</v>
      </c>
      <c r="C32" t="s">
        <v>28</v>
      </c>
      <c r="D32" t="s">
        <v>20</v>
      </c>
      <c r="E32" t="s">
        <v>16</v>
      </c>
      <c r="F32">
        <v>65</v>
      </c>
      <c r="G32">
        <v>40</v>
      </c>
      <c r="H32">
        <v>18</v>
      </c>
      <c r="I32" t="s">
        <v>21</v>
      </c>
      <c r="J32" t="s">
        <v>14</v>
      </c>
    </row>
    <row r="33" spans="1:10" x14ac:dyDescent="0.2">
      <c r="A33" s="2">
        <v>44750</v>
      </c>
      <c r="B33" t="s">
        <v>17</v>
      </c>
      <c r="C33" t="s">
        <v>29</v>
      </c>
      <c r="D33" t="s">
        <v>20</v>
      </c>
      <c r="E33" t="s">
        <v>12</v>
      </c>
      <c r="F33">
        <v>38</v>
      </c>
      <c r="G33">
        <v>28</v>
      </c>
      <c r="H33">
        <v>13</v>
      </c>
      <c r="I33" t="s">
        <v>21</v>
      </c>
      <c r="J33" t="s">
        <v>14</v>
      </c>
    </row>
    <row r="34" spans="1:10" x14ac:dyDescent="0.2">
      <c r="A34" s="2">
        <v>44754</v>
      </c>
      <c r="B34" t="s">
        <v>18</v>
      </c>
      <c r="C34" t="s">
        <v>27</v>
      </c>
      <c r="D34" t="s">
        <v>20</v>
      </c>
      <c r="E34" t="s">
        <v>16</v>
      </c>
      <c r="F34">
        <v>55</v>
      </c>
      <c r="G34">
        <v>35</v>
      </c>
      <c r="H34">
        <v>15</v>
      </c>
      <c r="I34" t="s">
        <v>22</v>
      </c>
      <c r="J34" t="s">
        <v>14</v>
      </c>
    </row>
    <row r="35" spans="1:10" x14ac:dyDescent="0.2">
      <c r="A35" s="2">
        <v>44757</v>
      </c>
      <c r="B35" t="s">
        <v>10</v>
      </c>
      <c r="C35" t="s">
        <v>28</v>
      </c>
      <c r="D35" t="s">
        <v>20</v>
      </c>
      <c r="E35" t="s">
        <v>12</v>
      </c>
      <c r="F35">
        <v>45</v>
      </c>
      <c r="G35">
        <v>36</v>
      </c>
      <c r="H35">
        <v>16</v>
      </c>
      <c r="I35" t="s">
        <v>21</v>
      </c>
      <c r="J35" t="s">
        <v>14</v>
      </c>
    </row>
    <row r="36" spans="1:10" x14ac:dyDescent="0.2">
      <c r="A36" s="2">
        <v>44760</v>
      </c>
      <c r="B36" t="s">
        <v>15</v>
      </c>
      <c r="C36" t="s">
        <v>29</v>
      </c>
      <c r="D36" t="s">
        <v>20</v>
      </c>
      <c r="E36" t="s">
        <v>12</v>
      </c>
      <c r="F36">
        <v>60</v>
      </c>
      <c r="G36">
        <v>40</v>
      </c>
      <c r="H36">
        <v>18</v>
      </c>
      <c r="I36" t="s">
        <v>22</v>
      </c>
      <c r="J36" t="s">
        <v>14</v>
      </c>
    </row>
    <row r="37" spans="1:10" x14ac:dyDescent="0.2">
      <c r="A37" s="2">
        <v>44764</v>
      </c>
      <c r="B37" t="s">
        <v>30</v>
      </c>
      <c r="C37" t="s">
        <v>27</v>
      </c>
      <c r="D37" t="s">
        <v>20</v>
      </c>
      <c r="E37" t="s">
        <v>16</v>
      </c>
      <c r="F37">
        <v>35</v>
      </c>
      <c r="G37">
        <v>55</v>
      </c>
      <c r="H37">
        <v>22</v>
      </c>
      <c r="I37" t="s">
        <v>22</v>
      </c>
      <c r="J37" t="s">
        <v>14</v>
      </c>
    </row>
    <row r="38" spans="1:10" x14ac:dyDescent="0.2">
      <c r="A38" s="2">
        <v>44767</v>
      </c>
      <c r="B38" t="s">
        <v>17</v>
      </c>
      <c r="C38" t="s">
        <v>28</v>
      </c>
      <c r="D38" t="s">
        <v>20</v>
      </c>
      <c r="E38" t="s">
        <v>12</v>
      </c>
      <c r="F38">
        <v>35</v>
      </c>
      <c r="G38">
        <v>28</v>
      </c>
      <c r="H38">
        <v>13</v>
      </c>
      <c r="I38" t="s">
        <v>21</v>
      </c>
      <c r="J38" t="s">
        <v>14</v>
      </c>
    </row>
    <row r="39" spans="1:10" x14ac:dyDescent="0.2">
      <c r="A39" s="2">
        <v>44774</v>
      </c>
      <c r="B39" t="s">
        <v>10</v>
      </c>
      <c r="C39" t="s">
        <v>27</v>
      </c>
      <c r="D39" t="s">
        <v>20</v>
      </c>
      <c r="E39" t="s">
        <v>12</v>
      </c>
      <c r="F39">
        <v>48</v>
      </c>
      <c r="G39">
        <v>36</v>
      </c>
      <c r="H39">
        <v>16</v>
      </c>
      <c r="I39" t="s">
        <v>21</v>
      </c>
      <c r="J39" t="s">
        <v>14</v>
      </c>
    </row>
    <row r="40" spans="1:10" x14ac:dyDescent="0.2">
      <c r="A40" s="2">
        <v>44778</v>
      </c>
      <c r="B40" t="s">
        <v>15</v>
      </c>
      <c r="C40" t="s">
        <v>29</v>
      </c>
      <c r="D40" t="s">
        <v>20</v>
      </c>
      <c r="E40" t="s">
        <v>16</v>
      </c>
      <c r="F40">
        <v>70</v>
      </c>
      <c r="G40">
        <v>40</v>
      </c>
      <c r="H40">
        <v>18</v>
      </c>
      <c r="I40" t="s">
        <v>22</v>
      </c>
      <c r="J40" t="s">
        <v>14</v>
      </c>
    </row>
    <row r="41" spans="1:10" x14ac:dyDescent="0.2">
      <c r="A41" s="2">
        <v>44781</v>
      </c>
      <c r="B41" t="s">
        <v>18</v>
      </c>
      <c r="C41" t="s">
        <v>28</v>
      </c>
      <c r="D41" t="s">
        <v>20</v>
      </c>
      <c r="E41" t="s">
        <v>12</v>
      </c>
      <c r="F41">
        <v>50</v>
      </c>
      <c r="G41">
        <v>33</v>
      </c>
      <c r="H41">
        <v>15</v>
      </c>
      <c r="I41" t="s">
        <v>21</v>
      </c>
      <c r="J41" t="s">
        <v>14</v>
      </c>
    </row>
    <row r="42" spans="1:10" x14ac:dyDescent="0.2">
      <c r="A42" s="2">
        <v>44788</v>
      </c>
      <c r="B42" t="s">
        <v>10</v>
      </c>
      <c r="C42" t="s">
        <v>27</v>
      </c>
      <c r="D42" t="s">
        <v>20</v>
      </c>
      <c r="E42" t="s">
        <v>16</v>
      </c>
      <c r="F42">
        <v>90</v>
      </c>
      <c r="G42">
        <v>40</v>
      </c>
      <c r="H42">
        <v>16</v>
      </c>
      <c r="I42" t="s">
        <v>22</v>
      </c>
      <c r="J42" t="s">
        <v>19</v>
      </c>
    </row>
    <row r="43" spans="1:10" x14ac:dyDescent="0.2">
      <c r="A43" s="2">
        <v>44788</v>
      </c>
      <c r="B43" t="s">
        <v>15</v>
      </c>
      <c r="C43" t="s">
        <v>28</v>
      </c>
      <c r="D43" t="s">
        <v>20</v>
      </c>
      <c r="E43" t="s">
        <v>16</v>
      </c>
      <c r="F43">
        <v>80</v>
      </c>
      <c r="G43">
        <v>44</v>
      </c>
      <c r="H43">
        <v>18</v>
      </c>
      <c r="I43" t="s">
        <v>22</v>
      </c>
      <c r="J43" t="s">
        <v>19</v>
      </c>
    </row>
    <row r="44" spans="1:10" x14ac:dyDescent="0.2">
      <c r="A44" s="2">
        <v>44788</v>
      </c>
      <c r="B44" t="s">
        <v>30</v>
      </c>
      <c r="C44" t="s">
        <v>29</v>
      </c>
      <c r="D44" t="s">
        <v>20</v>
      </c>
      <c r="E44" t="s">
        <v>16</v>
      </c>
      <c r="F44">
        <v>55</v>
      </c>
      <c r="G44">
        <v>60</v>
      </c>
      <c r="H44">
        <v>22</v>
      </c>
      <c r="I44" t="s">
        <v>22</v>
      </c>
      <c r="J44" t="s">
        <v>19</v>
      </c>
    </row>
    <row r="45" spans="1:10" x14ac:dyDescent="0.2">
      <c r="A45" s="2">
        <v>44793</v>
      </c>
      <c r="B45" t="s">
        <v>17</v>
      </c>
      <c r="C45" t="s">
        <v>27</v>
      </c>
      <c r="D45" t="s">
        <v>20</v>
      </c>
      <c r="E45" t="s">
        <v>12</v>
      </c>
      <c r="F45">
        <v>40</v>
      </c>
      <c r="G45">
        <v>28</v>
      </c>
      <c r="H45">
        <v>13</v>
      </c>
      <c r="I45" t="s">
        <v>21</v>
      </c>
      <c r="J45" t="s">
        <v>14</v>
      </c>
    </row>
    <row r="46" spans="1:10" x14ac:dyDescent="0.2">
      <c r="A46" s="2">
        <v>44798</v>
      </c>
      <c r="B46" t="s">
        <v>10</v>
      </c>
      <c r="C46" t="s">
        <v>28</v>
      </c>
      <c r="D46" t="s">
        <v>20</v>
      </c>
      <c r="E46" t="s">
        <v>12</v>
      </c>
      <c r="F46">
        <v>52</v>
      </c>
      <c r="G46">
        <v>36</v>
      </c>
      <c r="H46">
        <v>16</v>
      </c>
      <c r="I46" t="s">
        <v>22</v>
      </c>
      <c r="J46" t="s">
        <v>14</v>
      </c>
    </row>
    <row r="47" spans="1:10" x14ac:dyDescent="0.2">
      <c r="A47" s="2">
        <v>44805</v>
      </c>
      <c r="B47" t="s">
        <v>15</v>
      </c>
      <c r="C47" t="s">
        <v>29</v>
      </c>
      <c r="D47" t="s">
        <v>20</v>
      </c>
      <c r="E47" t="s">
        <v>16</v>
      </c>
      <c r="F47">
        <v>68</v>
      </c>
      <c r="G47">
        <v>40</v>
      </c>
      <c r="H47">
        <v>18</v>
      </c>
      <c r="I47" t="s">
        <v>22</v>
      </c>
      <c r="J47" t="s">
        <v>14</v>
      </c>
    </row>
    <row r="48" spans="1:10" x14ac:dyDescent="0.2">
      <c r="A48" s="2">
        <v>44812</v>
      </c>
      <c r="B48" t="s">
        <v>18</v>
      </c>
      <c r="C48" t="s">
        <v>27</v>
      </c>
      <c r="D48" t="s">
        <v>20</v>
      </c>
      <c r="E48" t="s">
        <v>12</v>
      </c>
      <c r="F48">
        <v>48</v>
      </c>
      <c r="G48">
        <v>33</v>
      </c>
      <c r="H48">
        <v>15</v>
      </c>
      <c r="I48" t="s">
        <v>22</v>
      </c>
      <c r="J48" t="s">
        <v>14</v>
      </c>
    </row>
    <row r="49" spans="1:10" x14ac:dyDescent="0.2">
      <c r="A49" s="2">
        <v>44819</v>
      </c>
      <c r="B49" t="s">
        <v>10</v>
      </c>
      <c r="C49" t="s">
        <v>28</v>
      </c>
      <c r="D49" t="s">
        <v>20</v>
      </c>
      <c r="E49" t="s">
        <v>16</v>
      </c>
      <c r="F49">
        <v>60</v>
      </c>
      <c r="G49">
        <v>36</v>
      </c>
      <c r="H49">
        <v>16</v>
      </c>
      <c r="I49" t="s">
        <v>22</v>
      </c>
      <c r="J49" t="s">
        <v>14</v>
      </c>
    </row>
    <row r="50" spans="1:10" x14ac:dyDescent="0.2">
      <c r="A50" s="2">
        <v>44826</v>
      </c>
      <c r="B50" t="s">
        <v>17</v>
      </c>
      <c r="C50" t="s">
        <v>29</v>
      </c>
      <c r="D50" t="s">
        <v>20</v>
      </c>
      <c r="E50" t="s">
        <v>12</v>
      </c>
      <c r="F50">
        <v>38</v>
      </c>
      <c r="G50">
        <v>28</v>
      </c>
      <c r="H50">
        <v>13</v>
      </c>
      <c r="I50" t="s">
        <v>22</v>
      </c>
      <c r="J50" t="s">
        <v>14</v>
      </c>
    </row>
    <row r="51" spans="1:10" x14ac:dyDescent="0.2">
      <c r="A51" s="2">
        <v>44835</v>
      </c>
      <c r="B51" t="s">
        <v>10</v>
      </c>
      <c r="C51" t="s">
        <v>27</v>
      </c>
      <c r="D51" t="s">
        <v>23</v>
      </c>
      <c r="E51" t="s">
        <v>12</v>
      </c>
      <c r="F51">
        <v>38</v>
      </c>
      <c r="G51">
        <v>32</v>
      </c>
      <c r="H51">
        <v>16</v>
      </c>
      <c r="I51" t="s">
        <v>24</v>
      </c>
      <c r="J51" t="s">
        <v>14</v>
      </c>
    </row>
    <row r="52" spans="1:10" x14ac:dyDescent="0.2">
      <c r="A52" s="2">
        <v>44839</v>
      </c>
      <c r="B52" t="s">
        <v>15</v>
      </c>
      <c r="C52" t="s">
        <v>28</v>
      </c>
      <c r="D52" t="s">
        <v>23</v>
      </c>
      <c r="E52" t="s">
        <v>16</v>
      </c>
      <c r="F52">
        <v>55</v>
      </c>
      <c r="G52">
        <v>38</v>
      </c>
      <c r="H52">
        <v>18</v>
      </c>
      <c r="I52" t="s">
        <v>24</v>
      </c>
      <c r="J52" t="s">
        <v>14</v>
      </c>
    </row>
    <row r="53" spans="1:10" x14ac:dyDescent="0.2">
      <c r="A53" s="2">
        <v>44842</v>
      </c>
      <c r="B53" t="s">
        <v>30</v>
      </c>
      <c r="C53" t="s">
        <v>29</v>
      </c>
      <c r="D53" t="s">
        <v>23</v>
      </c>
      <c r="E53" t="s">
        <v>12</v>
      </c>
      <c r="F53">
        <v>30</v>
      </c>
      <c r="G53">
        <v>52</v>
      </c>
      <c r="H53">
        <v>22</v>
      </c>
      <c r="I53" t="s">
        <v>24</v>
      </c>
      <c r="J53" t="s">
        <v>14</v>
      </c>
    </row>
    <row r="54" spans="1:10" x14ac:dyDescent="0.2">
      <c r="A54" s="2">
        <v>44846</v>
      </c>
      <c r="B54" t="s">
        <v>17</v>
      </c>
      <c r="C54" t="s">
        <v>27</v>
      </c>
      <c r="D54" t="s">
        <v>23</v>
      </c>
      <c r="E54" t="s">
        <v>12</v>
      </c>
      <c r="F54">
        <v>28</v>
      </c>
      <c r="G54">
        <v>26</v>
      </c>
      <c r="H54">
        <v>13</v>
      </c>
      <c r="I54" t="s">
        <v>24</v>
      </c>
      <c r="J54" t="s">
        <v>14</v>
      </c>
    </row>
    <row r="55" spans="1:10" x14ac:dyDescent="0.2">
      <c r="A55" s="2">
        <v>44849</v>
      </c>
      <c r="B55" t="s">
        <v>18</v>
      </c>
      <c r="C55" t="s">
        <v>28</v>
      </c>
      <c r="D55" t="s">
        <v>23</v>
      </c>
      <c r="E55" t="s">
        <v>16</v>
      </c>
      <c r="F55">
        <v>42</v>
      </c>
      <c r="G55">
        <v>32</v>
      </c>
      <c r="H55">
        <v>15</v>
      </c>
      <c r="I55" t="s">
        <v>24</v>
      </c>
      <c r="J55" t="s">
        <v>14</v>
      </c>
    </row>
    <row r="56" spans="1:10" x14ac:dyDescent="0.2">
      <c r="A56" s="2">
        <v>44854</v>
      </c>
      <c r="B56" t="s">
        <v>10</v>
      </c>
      <c r="C56" t="s">
        <v>27</v>
      </c>
      <c r="D56" t="s">
        <v>23</v>
      </c>
      <c r="E56" t="s">
        <v>16</v>
      </c>
      <c r="F56">
        <v>62</v>
      </c>
      <c r="G56">
        <v>35</v>
      </c>
      <c r="H56">
        <v>16</v>
      </c>
      <c r="I56" t="s">
        <v>24</v>
      </c>
      <c r="J56" t="s">
        <v>19</v>
      </c>
    </row>
    <row r="57" spans="1:10" x14ac:dyDescent="0.2">
      <c r="A57" s="2">
        <v>44854</v>
      </c>
      <c r="B57" t="s">
        <v>15</v>
      </c>
      <c r="C57" t="s">
        <v>29</v>
      </c>
      <c r="D57" t="s">
        <v>23</v>
      </c>
      <c r="E57" t="s">
        <v>16</v>
      </c>
      <c r="F57">
        <v>75</v>
      </c>
      <c r="G57">
        <v>42</v>
      </c>
      <c r="H57">
        <v>18</v>
      </c>
      <c r="I57" t="s">
        <v>24</v>
      </c>
      <c r="J57" t="s">
        <v>19</v>
      </c>
    </row>
    <row r="58" spans="1:10" x14ac:dyDescent="0.2">
      <c r="A58" s="2">
        <v>44859</v>
      </c>
      <c r="B58" t="s">
        <v>10</v>
      </c>
      <c r="C58" t="s">
        <v>28</v>
      </c>
      <c r="D58" t="s">
        <v>23</v>
      </c>
      <c r="E58" t="s">
        <v>12</v>
      </c>
      <c r="F58">
        <v>35</v>
      </c>
      <c r="G58">
        <v>32</v>
      </c>
      <c r="H58">
        <v>16</v>
      </c>
      <c r="I58" t="s">
        <v>24</v>
      </c>
      <c r="J58" t="s">
        <v>14</v>
      </c>
    </row>
    <row r="59" spans="1:10" x14ac:dyDescent="0.2">
      <c r="A59" s="2">
        <v>44866</v>
      </c>
      <c r="B59" t="s">
        <v>15</v>
      </c>
      <c r="C59" t="s">
        <v>27</v>
      </c>
      <c r="D59" t="s">
        <v>23</v>
      </c>
      <c r="E59" t="s">
        <v>12</v>
      </c>
      <c r="F59">
        <v>42</v>
      </c>
      <c r="G59">
        <v>38</v>
      </c>
      <c r="H59">
        <v>18</v>
      </c>
      <c r="I59" t="s">
        <v>25</v>
      </c>
      <c r="J59" t="s">
        <v>14</v>
      </c>
    </row>
    <row r="60" spans="1:10" x14ac:dyDescent="0.2">
      <c r="A60" s="2">
        <v>44870</v>
      </c>
      <c r="B60" t="s">
        <v>17</v>
      </c>
      <c r="C60" t="s">
        <v>29</v>
      </c>
      <c r="D60" t="s">
        <v>23</v>
      </c>
      <c r="E60" t="s">
        <v>12</v>
      </c>
      <c r="F60">
        <v>25</v>
      </c>
      <c r="G60">
        <v>26</v>
      </c>
      <c r="H60">
        <v>13</v>
      </c>
      <c r="I60" t="s">
        <v>25</v>
      </c>
      <c r="J60" t="s">
        <v>14</v>
      </c>
    </row>
    <row r="61" spans="1:10" x14ac:dyDescent="0.2">
      <c r="A61" s="2">
        <v>44873</v>
      </c>
      <c r="B61" t="s">
        <v>18</v>
      </c>
      <c r="C61" t="s">
        <v>28</v>
      </c>
      <c r="D61" t="s">
        <v>23</v>
      </c>
      <c r="E61" t="s">
        <v>16</v>
      </c>
      <c r="F61">
        <v>38</v>
      </c>
      <c r="G61">
        <v>30</v>
      </c>
      <c r="H61">
        <v>15</v>
      </c>
      <c r="I61" t="s">
        <v>25</v>
      </c>
      <c r="J61" t="s">
        <v>14</v>
      </c>
    </row>
    <row r="62" spans="1:10" x14ac:dyDescent="0.2">
      <c r="A62" s="2">
        <v>44877</v>
      </c>
      <c r="B62" t="s">
        <v>30</v>
      </c>
      <c r="C62" t="s">
        <v>27</v>
      </c>
      <c r="D62" t="s">
        <v>23</v>
      </c>
      <c r="E62" t="s">
        <v>12</v>
      </c>
      <c r="F62">
        <v>28</v>
      </c>
      <c r="G62">
        <v>50</v>
      </c>
      <c r="H62">
        <v>22</v>
      </c>
      <c r="I62" t="s">
        <v>25</v>
      </c>
      <c r="J62" t="s">
        <v>14</v>
      </c>
    </row>
    <row r="63" spans="1:10" x14ac:dyDescent="0.2">
      <c r="A63" s="2">
        <v>44896</v>
      </c>
      <c r="B63" t="s">
        <v>15</v>
      </c>
      <c r="C63" t="s">
        <v>28</v>
      </c>
      <c r="D63" t="s">
        <v>23</v>
      </c>
      <c r="E63" t="s">
        <v>12</v>
      </c>
      <c r="F63">
        <v>40</v>
      </c>
      <c r="G63">
        <v>38</v>
      </c>
      <c r="H63">
        <v>18</v>
      </c>
      <c r="I63" t="s">
        <v>25</v>
      </c>
      <c r="J63" t="s">
        <v>14</v>
      </c>
    </row>
    <row r="64" spans="1:10" x14ac:dyDescent="0.2">
      <c r="A64" s="2">
        <v>44905</v>
      </c>
      <c r="B64" t="s">
        <v>17</v>
      </c>
      <c r="C64" t="s">
        <v>29</v>
      </c>
      <c r="D64" t="s">
        <v>23</v>
      </c>
      <c r="E64" t="s">
        <v>12</v>
      </c>
      <c r="F64">
        <v>22</v>
      </c>
      <c r="G64">
        <v>26</v>
      </c>
      <c r="H64">
        <v>13</v>
      </c>
      <c r="I64" t="s">
        <v>25</v>
      </c>
      <c r="J64" t="s">
        <v>14</v>
      </c>
    </row>
    <row r="65" spans="1:10" x14ac:dyDescent="0.2">
      <c r="A65" s="2">
        <v>44910</v>
      </c>
      <c r="B65" t="s">
        <v>10</v>
      </c>
      <c r="C65" t="s">
        <v>27</v>
      </c>
      <c r="D65" t="s">
        <v>23</v>
      </c>
      <c r="E65" t="s">
        <v>16</v>
      </c>
      <c r="F65">
        <v>32</v>
      </c>
      <c r="G65">
        <v>32</v>
      </c>
      <c r="H65">
        <v>16</v>
      </c>
      <c r="I65" t="s">
        <v>25</v>
      </c>
      <c r="J65" t="s">
        <v>14</v>
      </c>
    </row>
    <row r="66" spans="1:10" x14ac:dyDescent="0.2">
      <c r="A66" s="2">
        <v>44920</v>
      </c>
      <c r="B66" t="s">
        <v>15</v>
      </c>
      <c r="C66" t="s">
        <v>27</v>
      </c>
      <c r="D66" t="s">
        <v>23</v>
      </c>
      <c r="E66" t="s">
        <v>16</v>
      </c>
      <c r="F66">
        <v>88</v>
      </c>
      <c r="G66">
        <v>44</v>
      </c>
      <c r="H66">
        <v>18</v>
      </c>
      <c r="I66" t="s">
        <v>25</v>
      </c>
      <c r="J66" t="s">
        <v>19</v>
      </c>
    </row>
    <row r="67" spans="1:10" x14ac:dyDescent="0.2">
      <c r="A67" s="2">
        <v>44920</v>
      </c>
      <c r="B67" t="s">
        <v>18</v>
      </c>
      <c r="C67" t="s">
        <v>28</v>
      </c>
      <c r="D67" t="s">
        <v>23</v>
      </c>
      <c r="E67" t="s">
        <v>16</v>
      </c>
      <c r="F67">
        <v>65</v>
      </c>
      <c r="G67">
        <v>38</v>
      </c>
      <c r="H67">
        <v>15</v>
      </c>
      <c r="I67" t="s">
        <v>25</v>
      </c>
      <c r="J67" t="s">
        <v>19</v>
      </c>
    </row>
    <row r="68" spans="1:10" x14ac:dyDescent="0.2">
      <c r="A68" s="2">
        <v>44920</v>
      </c>
      <c r="B68" t="s">
        <v>30</v>
      </c>
      <c r="C68" t="s">
        <v>29</v>
      </c>
      <c r="D68" t="s">
        <v>23</v>
      </c>
      <c r="E68" t="s">
        <v>16</v>
      </c>
      <c r="F68">
        <v>50</v>
      </c>
      <c r="G68">
        <v>58</v>
      </c>
      <c r="H68">
        <v>22</v>
      </c>
      <c r="I68" t="s">
        <v>25</v>
      </c>
      <c r="J68" t="s">
        <v>19</v>
      </c>
    </row>
    <row r="69" spans="1:10" x14ac:dyDescent="0.2">
      <c r="A69" s="2">
        <v>44927</v>
      </c>
      <c r="B69" t="s">
        <v>17</v>
      </c>
      <c r="C69" t="s">
        <v>29</v>
      </c>
      <c r="D69" t="s">
        <v>23</v>
      </c>
      <c r="E69" t="s">
        <v>12</v>
      </c>
      <c r="F69">
        <v>22</v>
      </c>
      <c r="G69">
        <v>26</v>
      </c>
      <c r="H69">
        <v>13</v>
      </c>
      <c r="I69" t="s">
        <v>32</v>
      </c>
      <c r="J69" t="s">
        <v>14</v>
      </c>
    </row>
    <row r="70" spans="1:10" x14ac:dyDescent="0.2">
      <c r="A70" s="2">
        <v>44934</v>
      </c>
      <c r="B70" t="s">
        <v>15</v>
      </c>
      <c r="C70" t="s">
        <v>27</v>
      </c>
      <c r="D70" t="s">
        <v>23</v>
      </c>
      <c r="E70" t="s">
        <v>12</v>
      </c>
      <c r="F70">
        <v>38</v>
      </c>
      <c r="G70">
        <v>38</v>
      </c>
      <c r="H70">
        <v>18</v>
      </c>
      <c r="I70" t="s">
        <v>32</v>
      </c>
      <c r="J70" t="s">
        <v>14</v>
      </c>
    </row>
    <row r="71" spans="1:10" x14ac:dyDescent="0.2">
      <c r="A71" s="2">
        <v>44941</v>
      </c>
      <c r="B71" t="s">
        <v>10</v>
      </c>
      <c r="C71" t="s">
        <v>28</v>
      </c>
      <c r="D71" t="s">
        <v>23</v>
      </c>
      <c r="E71" t="s">
        <v>12</v>
      </c>
      <c r="F71">
        <v>28</v>
      </c>
      <c r="G71">
        <v>30</v>
      </c>
      <c r="H71">
        <v>16</v>
      </c>
      <c r="I71" t="s">
        <v>32</v>
      </c>
      <c r="J71" t="s">
        <v>14</v>
      </c>
    </row>
    <row r="72" spans="1:10" x14ac:dyDescent="0.2">
      <c r="A72" s="2">
        <v>44948</v>
      </c>
      <c r="B72" t="s">
        <v>18</v>
      </c>
      <c r="C72" t="s">
        <v>29</v>
      </c>
      <c r="D72" t="s">
        <v>23</v>
      </c>
      <c r="E72" t="s">
        <v>12</v>
      </c>
      <c r="F72">
        <v>25</v>
      </c>
      <c r="G72">
        <v>28</v>
      </c>
      <c r="H72">
        <v>15</v>
      </c>
      <c r="I72" t="s">
        <v>25</v>
      </c>
      <c r="J72" t="s">
        <v>14</v>
      </c>
    </row>
    <row r="73" spans="1:10" x14ac:dyDescent="0.2">
      <c r="A73" s="2">
        <v>44952</v>
      </c>
      <c r="B73" t="s">
        <v>10</v>
      </c>
      <c r="C73" t="s">
        <v>27</v>
      </c>
      <c r="D73" t="s">
        <v>23</v>
      </c>
      <c r="E73" t="s">
        <v>16</v>
      </c>
      <c r="F73">
        <v>58</v>
      </c>
      <c r="G73">
        <v>35</v>
      </c>
      <c r="H73">
        <v>16</v>
      </c>
      <c r="I73" t="s">
        <v>25</v>
      </c>
      <c r="J73" t="s">
        <v>19</v>
      </c>
    </row>
    <row r="74" spans="1:10" x14ac:dyDescent="0.2">
      <c r="A74" s="2">
        <v>44952</v>
      </c>
      <c r="B74" t="s">
        <v>15</v>
      </c>
      <c r="C74" t="s">
        <v>28</v>
      </c>
      <c r="D74" t="s">
        <v>23</v>
      </c>
      <c r="E74" t="s">
        <v>16</v>
      </c>
      <c r="F74">
        <v>65</v>
      </c>
      <c r="G74">
        <v>40</v>
      </c>
      <c r="H74">
        <v>18</v>
      </c>
      <c r="I74" t="s">
        <v>25</v>
      </c>
      <c r="J74" t="s">
        <v>19</v>
      </c>
    </row>
    <row r="75" spans="1:10" x14ac:dyDescent="0.2">
      <c r="A75" s="2">
        <v>44952</v>
      </c>
      <c r="B75" t="s">
        <v>30</v>
      </c>
      <c r="C75" t="s">
        <v>29</v>
      </c>
      <c r="D75" t="s">
        <v>23</v>
      </c>
      <c r="E75" t="s">
        <v>16</v>
      </c>
      <c r="F75">
        <v>42</v>
      </c>
      <c r="G75">
        <v>55</v>
      </c>
      <c r="H75">
        <v>22</v>
      </c>
      <c r="I75" t="s">
        <v>25</v>
      </c>
      <c r="J75" t="s">
        <v>19</v>
      </c>
    </row>
    <row r="76" spans="1:10" x14ac:dyDescent="0.2">
      <c r="A76" s="2">
        <v>44958</v>
      </c>
      <c r="B76" t="s">
        <v>17</v>
      </c>
      <c r="C76" t="s">
        <v>27</v>
      </c>
      <c r="D76" t="s">
        <v>23</v>
      </c>
      <c r="E76" t="s">
        <v>12</v>
      </c>
      <c r="F76">
        <v>25</v>
      </c>
      <c r="G76">
        <v>26</v>
      </c>
      <c r="H76">
        <v>13</v>
      </c>
      <c r="I76" t="s">
        <v>25</v>
      </c>
      <c r="J76" t="s">
        <v>14</v>
      </c>
    </row>
    <row r="77" spans="1:10" x14ac:dyDescent="0.2">
      <c r="A77" s="2">
        <v>44967</v>
      </c>
      <c r="B77" t="s">
        <v>15</v>
      </c>
      <c r="C77" t="s">
        <v>28</v>
      </c>
      <c r="D77" t="s">
        <v>23</v>
      </c>
      <c r="E77" t="s">
        <v>16</v>
      </c>
      <c r="F77">
        <v>48</v>
      </c>
      <c r="G77">
        <v>38</v>
      </c>
      <c r="H77">
        <v>18</v>
      </c>
      <c r="I77" t="s">
        <v>24</v>
      </c>
      <c r="J77" t="s">
        <v>14</v>
      </c>
    </row>
    <row r="78" spans="1:10" x14ac:dyDescent="0.2">
      <c r="A78" s="2">
        <v>44972</v>
      </c>
      <c r="B78" t="s">
        <v>18</v>
      </c>
      <c r="C78" t="s">
        <v>29</v>
      </c>
      <c r="D78" t="s">
        <v>23</v>
      </c>
      <c r="E78" t="s">
        <v>12</v>
      </c>
      <c r="F78">
        <v>32</v>
      </c>
      <c r="G78">
        <v>30</v>
      </c>
      <c r="H78">
        <v>15</v>
      </c>
      <c r="I78" t="s">
        <v>24</v>
      </c>
      <c r="J78" t="s">
        <v>14</v>
      </c>
    </row>
    <row r="79" spans="1:10" x14ac:dyDescent="0.2">
      <c r="A79" s="2">
        <v>44986</v>
      </c>
      <c r="B79" t="s">
        <v>10</v>
      </c>
      <c r="C79" t="s">
        <v>27</v>
      </c>
      <c r="D79" t="s">
        <v>11</v>
      </c>
      <c r="E79" t="s">
        <v>12</v>
      </c>
      <c r="F79">
        <v>65</v>
      </c>
      <c r="G79">
        <v>35</v>
      </c>
      <c r="H79">
        <v>16</v>
      </c>
      <c r="I79" t="s">
        <v>26</v>
      </c>
      <c r="J79" t="s">
        <v>14</v>
      </c>
    </row>
    <row r="80" spans="1:10" x14ac:dyDescent="0.2">
      <c r="A80" s="2">
        <v>44993</v>
      </c>
      <c r="B80" t="s">
        <v>17</v>
      </c>
      <c r="C80" t="s">
        <v>28</v>
      </c>
      <c r="D80" t="s">
        <v>11</v>
      </c>
      <c r="E80" t="s">
        <v>12</v>
      </c>
      <c r="F80">
        <v>45</v>
      </c>
      <c r="G80">
        <v>28</v>
      </c>
      <c r="H80">
        <v>13</v>
      </c>
      <c r="I80" t="s">
        <v>26</v>
      </c>
      <c r="J80" t="s">
        <v>19</v>
      </c>
    </row>
    <row r="81" spans="1:10" x14ac:dyDescent="0.2">
      <c r="A81" s="2">
        <v>45000</v>
      </c>
      <c r="B81" t="s">
        <v>15</v>
      </c>
      <c r="C81" t="s">
        <v>29</v>
      </c>
      <c r="D81" t="s">
        <v>11</v>
      </c>
      <c r="E81" t="s">
        <v>12</v>
      </c>
      <c r="F81">
        <v>58</v>
      </c>
      <c r="G81">
        <v>38</v>
      </c>
      <c r="H81">
        <v>18</v>
      </c>
      <c r="I81" t="s">
        <v>26</v>
      </c>
      <c r="J81" t="s">
        <v>14</v>
      </c>
    </row>
    <row r="82" spans="1:10" x14ac:dyDescent="0.2">
      <c r="A82" s="2">
        <v>45007</v>
      </c>
      <c r="B82" t="s">
        <v>10</v>
      </c>
      <c r="C82" t="s">
        <v>27</v>
      </c>
      <c r="D82" t="s">
        <v>11</v>
      </c>
      <c r="E82" t="s">
        <v>16</v>
      </c>
      <c r="F82">
        <v>88</v>
      </c>
      <c r="G82">
        <v>38</v>
      </c>
      <c r="H82">
        <v>16</v>
      </c>
      <c r="I82" t="s">
        <v>13</v>
      </c>
      <c r="J82" t="s">
        <v>14</v>
      </c>
    </row>
    <row r="83" spans="1:10" x14ac:dyDescent="0.2">
      <c r="A83" s="2">
        <v>45010</v>
      </c>
      <c r="B83" t="s">
        <v>18</v>
      </c>
      <c r="C83" t="s">
        <v>28</v>
      </c>
      <c r="D83" t="s">
        <v>11</v>
      </c>
      <c r="E83" t="s">
        <v>16</v>
      </c>
      <c r="F83">
        <v>70</v>
      </c>
      <c r="G83">
        <v>35</v>
      </c>
      <c r="H83">
        <v>15</v>
      </c>
      <c r="I83" t="s">
        <v>13</v>
      </c>
      <c r="J83" t="s">
        <v>14</v>
      </c>
    </row>
    <row r="84" spans="1:10" x14ac:dyDescent="0.2">
      <c r="A84" s="2">
        <v>45017</v>
      </c>
      <c r="B84" t="s">
        <v>10</v>
      </c>
      <c r="C84" t="s">
        <v>27</v>
      </c>
      <c r="D84" t="s">
        <v>11</v>
      </c>
      <c r="E84" t="s">
        <v>12</v>
      </c>
      <c r="F84">
        <v>80</v>
      </c>
      <c r="G84">
        <v>36</v>
      </c>
      <c r="H84">
        <v>17</v>
      </c>
      <c r="I84" t="s">
        <v>13</v>
      </c>
      <c r="J84" t="s">
        <v>14</v>
      </c>
    </row>
    <row r="85" spans="1:10" x14ac:dyDescent="0.2">
      <c r="A85" s="2">
        <v>45021</v>
      </c>
      <c r="B85" t="s">
        <v>15</v>
      </c>
      <c r="C85" t="s">
        <v>28</v>
      </c>
      <c r="D85" t="s">
        <v>11</v>
      </c>
      <c r="E85" t="s">
        <v>16</v>
      </c>
      <c r="F85">
        <v>72</v>
      </c>
      <c r="G85">
        <v>42</v>
      </c>
      <c r="H85">
        <v>19</v>
      </c>
      <c r="I85" t="s">
        <v>13</v>
      </c>
      <c r="J85" t="s">
        <v>14</v>
      </c>
    </row>
    <row r="86" spans="1:10" x14ac:dyDescent="0.2">
      <c r="A86" s="2">
        <v>45024</v>
      </c>
      <c r="B86" t="s">
        <v>17</v>
      </c>
      <c r="C86" t="s">
        <v>29</v>
      </c>
      <c r="D86" t="s">
        <v>11</v>
      </c>
      <c r="E86" t="s">
        <v>12</v>
      </c>
      <c r="F86">
        <v>55</v>
      </c>
      <c r="G86">
        <v>30</v>
      </c>
      <c r="H86">
        <v>14</v>
      </c>
      <c r="I86" t="s">
        <v>13</v>
      </c>
      <c r="J86" t="s">
        <v>14</v>
      </c>
    </row>
    <row r="87" spans="1:10" x14ac:dyDescent="0.2">
      <c r="A87" s="2">
        <v>45028</v>
      </c>
      <c r="B87" t="s">
        <v>18</v>
      </c>
      <c r="C87" t="s">
        <v>27</v>
      </c>
      <c r="D87" t="s">
        <v>11</v>
      </c>
      <c r="E87" t="s">
        <v>16</v>
      </c>
      <c r="F87">
        <v>62</v>
      </c>
      <c r="G87">
        <v>36</v>
      </c>
      <c r="H87">
        <v>16</v>
      </c>
      <c r="I87" t="s">
        <v>13</v>
      </c>
      <c r="J87" t="s">
        <v>14</v>
      </c>
    </row>
    <row r="88" spans="1:10" x14ac:dyDescent="0.2">
      <c r="A88" s="2">
        <v>45030</v>
      </c>
      <c r="B88" t="s">
        <v>10</v>
      </c>
      <c r="C88" t="s">
        <v>27</v>
      </c>
      <c r="D88" t="s">
        <v>11</v>
      </c>
      <c r="E88" t="s">
        <v>16</v>
      </c>
      <c r="F88">
        <v>140</v>
      </c>
      <c r="G88">
        <v>40</v>
      </c>
      <c r="H88">
        <v>17</v>
      </c>
      <c r="I88" t="s">
        <v>13</v>
      </c>
      <c r="J88" t="s">
        <v>19</v>
      </c>
    </row>
    <row r="89" spans="1:10" x14ac:dyDescent="0.2">
      <c r="A89" s="2">
        <v>45030</v>
      </c>
      <c r="B89" t="s">
        <v>30</v>
      </c>
      <c r="C89" t="s">
        <v>28</v>
      </c>
      <c r="D89" t="s">
        <v>11</v>
      </c>
      <c r="E89" t="s">
        <v>16</v>
      </c>
      <c r="F89">
        <v>75</v>
      </c>
      <c r="G89">
        <v>60</v>
      </c>
      <c r="H89">
        <v>23</v>
      </c>
      <c r="I89" t="s">
        <v>13</v>
      </c>
      <c r="J89" t="s">
        <v>19</v>
      </c>
    </row>
    <row r="90" spans="1:10" x14ac:dyDescent="0.2">
      <c r="A90" s="2">
        <v>45030</v>
      </c>
      <c r="B90" t="s">
        <v>15</v>
      </c>
      <c r="C90" t="s">
        <v>29</v>
      </c>
      <c r="D90" t="s">
        <v>11</v>
      </c>
      <c r="E90" t="s">
        <v>16</v>
      </c>
      <c r="F90">
        <v>100</v>
      </c>
      <c r="G90">
        <v>44</v>
      </c>
      <c r="H90">
        <v>19</v>
      </c>
      <c r="I90" t="s">
        <v>13</v>
      </c>
      <c r="J90" t="s">
        <v>19</v>
      </c>
    </row>
    <row r="91" spans="1:10" x14ac:dyDescent="0.2">
      <c r="A91" s="2">
        <v>45034</v>
      </c>
      <c r="B91" t="s">
        <v>17</v>
      </c>
      <c r="C91" t="s">
        <v>27</v>
      </c>
      <c r="D91" t="s">
        <v>11</v>
      </c>
      <c r="E91" t="s">
        <v>12</v>
      </c>
      <c r="F91">
        <v>58</v>
      </c>
      <c r="G91">
        <v>30</v>
      </c>
      <c r="H91">
        <v>14</v>
      </c>
      <c r="I91" t="s">
        <v>13</v>
      </c>
      <c r="J91" t="s">
        <v>14</v>
      </c>
    </row>
    <row r="92" spans="1:10" x14ac:dyDescent="0.2">
      <c r="A92" s="2">
        <v>45038</v>
      </c>
      <c r="B92" t="s">
        <v>10</v>
      </c>
      <c r="C92" t="s">
        <v>29</v>
      </c>
      <c r="D92" t="s">
        <v>11</v>
      </c>
      <c r="E92" t="s">
        <v>12</v>
      </c>
      <c r="F92">
        <v>85</v>
      </c>
      <c r="G92">
        <v>36</v>
      </c>
      <c r="H92">
        <v>17</v>
      </c>
      <c r="I92" t="s">
        <v>13</v>
      </c>
      <c r="J92" t="s">
        <v>14</v>
      </c>
    </row>
    <row r="93" spans="1:10" x14ac:dyDescent="0.2">
      <c r="A93" s="2">
        <v>45041</v>
      </c>
      <c r="B93" t="s">
        <v>15</v>
      </c>
      <c r="C93" t="s">
        <v>28</v>
      </c>
      <c r="D93" t="s">
        <v>11</v>
      </c>
      <c r="E93" t="s">
        <v>16</v>
      </c>
      <c r="F93">
        <v>95</v>
      </c>
      <c r="G93">
        <v>42</v>
      </c>
      <c r="H93">
        <v>19</v>
      </c>
      <c r="I93" t="s">
        <v>13</v>
      </c>
      <c r="J93" t="s">
        <v>14</v>
      </c>
    </row>
    <row r="94" spans="1:10" x14ac:dyDescent="0.2">
      <c r="A94" s="2">
        <v>45047</v>
      </c>
      <c r="B94" t="s">
        <v>10</v>
      </c>
      <c r="C94" t="s">
        <v>27</v>
      </c>
      <c r="D94" t="s">
        <v>11</v>
      </c>
      <c r="E94" t="s">
        <v>12</v>
      </c>
      <c r="F94">
        <v>95</v>
      </c>
      <c r="G94">
        <v>38</v>
      </c>
      <c r="H94">
        <v>17</v>
      </c>
      <c r="I94" t="s">
        <v>13</v>
      </c>
      <c r="J94" t="s">
        <v>14</v>
      </c>
    </row>
    <row r="95" spans="1:10" x14ac:dyDescent="0.2">
      <c r="A95" s="2">
        <v>45051</v>
      </c>
      <c r="B95" t="s">
        <v>30</v>
      </c>
      <c r="C95" t="s">
        <v>29</v>
      </c>
      <c r="D95" t="s">
        <v>11</v>
      </c>
      <c r="E95" t="s">
        <v>16</v>
      </c>
      <c r="F95">
        <v>60</v>
      </c>
      <c r="G95">
        <v>62</v>
      </c>
      <c r="H95">
        <v>23</v>
      </c>
      <c r="I95" t="s">
        <v>13</v>
      </c>
      <c r="J95" t="s">
        <v>14</v>
      </c>
    </row>
    <row r="96" spans="1:10" x14ac:dyDescent="0.2">
      <c r="A96" s="2">
        <v>45054</v>
      </c>
      <c r="B96" t="s">
        <v>17</v>
      </c>
      <c r="C96" t="s">
        <v>28</v>
      </c>
      <c r="D96" t="s">
        <v>11</v>
      </c>
      <c r="E96" t="s">
        <v>12</v>
      </c>
      <c r="F96">
        <v>62</v>
      </c>
      <c r="G96">
        <v>30</v>
      </c>
      <c r="H96">
        <v>14</v>
      </c>
      <c r="I96" t="s">
        <v>31</v>
      </c>
      <c r="J96" t="s">
        <v>14</v>
      </c>
    </row>
    <row r="97" spans="1:10" x14ac:dyDescent="0.2">
      <c r="A97" s="2">
        <v>45058</v>
      </c>
      <c r="B97" t="s">
        <v>10</v>
      </c>
      <c r="C97" t="s">
        <v>27</v>
      </c>
      <c r="D97" t="s">
        <v>11</v>
      </c>
      <c r="E97" t="s">
        <v>16</v>
      </c>
      <c r="F97">
        <v>148</v>
      </c>
      <c r="G97">
        <v>42</v>
      </c>
      <c r="H97">
        <v>17</v>
      </c>
      <c r="I97" t="s">
        <v>31</v>
      </c>
      <c r="J97" t="s">
        <v>14</v>
      </c>
    </row>
    <row r="98" spans="1:10" x14ac:dyDescent="0.2">
      <c r="A98" s="2">
        <v>45061</v>
      </c>
      <c r="B98" t="s">
        <v>15</v>
      </c>
      <c r="C98" t="s">
        <v>29</v>
      </c>
      <c r="D98" t="s">
        <v>11</v>
      </c>
      <c r="E98" t="s">
        <v>12</v>
      </c>
      <c r="F98">
        <v>90</v>
      </c>
      <c r="G98">
        <v>44</v>
      </c>
      <c r="H98">
        <v>19</v>
      </c>
      <c r="I98" t="s">
        <v>31</v>
      </c>
      <c r="J98" t="s">
        <v>14</v>
      </c>
    </row>
    <row r="99" spans="1:10" x14ac:dyDescent="0.2">
      <c r="A99" s="2">
        <v>45064</v>
      </c>
      <c r="B99" t="s">
        <v>18</v>
      </c>
      <c r="C99" t="s">
        <v>28</v>
      </c>
      <c r="D99" t="s">
        <v>11</v>
      </c>
      <c r="E99" t="s">
        <v>16</v>
      </c>
      <c r="F99">
        <v>108</v>
      </c>
      <c r="G99">
        <v>40</v>
      </c>
      <c r="H99">
        <v>16</v>
      </c>
      <c r="I99" t="s">
        <v>31</v>
      </c>
      <c r="J99" t="s">
        <v>14</v>
      </c>
    </row>
    <row r="100" spans="1:10" x14ac:dyDescent="0.2">
      <c r="A100" s="2">
        <v>45068</v>
      </c>
      <c r="B100" t="s">
        <v>10</v>
      </c>
      <c r="C100" t="s">
        <v>27</v>
      </c>
      <c r="D100" t="s">
        <v>11</v>
      </c>
      <c r="E100" t="s">
        <v>12</v>
      </c>
      <c r="F100">
        <v>112</v>
      </c>
      <c r="G100">
        <v>42</v>
      </c>
      <c r="H100">
        <v>17</v>
      </c>
      <c r="I100" t="s">
        <v>31</v>
      </c>
      <c r="J100" t="s">
        <v>14</v>
      </c>
    </row>
    <row r="101" spans="1:10" x14ac:dyDescent="0.2">
      <c r="A101" s="2">
        <v>45071</v>
      </c>
      <c r="B101" t="s">
        <v>30</v>
      </c>
      <c r="C101" t="s">
        <v>27</v>
      </c>
      <c r="D101" t="s">
        <v>11</v>
      </c>
      <c r="E101" t="s">
        <v>16</v>
      </c>
      <c r="F101">
        <v>68</v>
      </c>
      <c r="G101">
        <v>64</v>
      </c>
      <c r="H101">
        <v>23</v>
      </c>
      <c r="I101" t="s">
        <v>31</v>
      </c>
      <c r="J101" t="s">
        <v>14</v>
      </c>
    </row>
    <row r="102" spans="1:10" x14ac:dyDescent="0.2">
      <c r="A102" s="2">
        <v>45074</v>
      </c>
      <c r="B102" t="s">
        <v>17</v>
      </c>
      <c r="C102" t="s">
        <v>29</v>
      </c>
      <c r="D102" t="s">
        <v>11</v>
      </c>
      <c r="E102" t="s">
        <v>12</v>
      </c>
      <c r="F102">
        <v>68</v>
      </c>
      <c r="G102">
        <v>32</v>
      </c>
      <c r="H102">
        <v>14</v>
      </c>
      <c r="I102" t="s">
        <v>31</v>
      </c>
      <c r="J102" t="s">
        <v>14</v>
      </c>
    </row>
    <row r="103" spans="1:10" x14ac:dyDescent="0.2">
      <c r="A103" s="2">
        <v>45078</v>
      </c>
      <c r="B103" t="s">
        <v>10</v>
      </c>
      <c r="C103" t="s">
        <v>27</v>
      </c>
      <c r="D103" t="s">
        <v>11</v>
      </c>
      <c r="E103" t="s">
        <v>12</v>
      </c>
      <c r="F103">
        <v>125</v>
      </c>
      <c r="G103">
        <v>44</v>
      </c>
      <c r="H103">
        <v>17</v>
      </c>
      <c r="I103" t="s">
        <v>31</v>
      </c>
      <c r="J103" t="s">
        <v>14</v>
      </c>
    </row>
    <row r="104" spans="1:10" x14ac:dyDescent="0.2">
      <c r="A104" s="2">
        <v>45082</v>
      </c>
      <c r="B104" t="s">
        <v>15</v>
      </c>
      <c r="C104" t="s">
        <v>28</v>
      </c>
      <c r="D104" t="s">
        <v>11</v>
      </c>
      <c r="E104" t="s">
        <v>16</v>
      </c>
      <c r="F104">
        <v>115</v>
      </c>
      <c r="G104">
        <v>46</v>
      </c>
      <c r="H104">
        <v>19</v>
      </c>
      <c r="I104" t="s">
        <v>31</v>
      </c>
      <c r="J104" t="s">
        <v>14</v>
      </c>
    </row>
    <row r="105" spans="1:10" x14ac:dyDescent="0.2">
      <c r="A105" s="2">
        <v>45085</v>
      </c>
      <c r="B105" t="s">
        <v>18</v>
      </c>
      <c r="C105" t="s">
        <v>29</v>
      </c>
      <c r="D105" t="s">
        <v>11</v>
      </c>
      <c r="E105" t="s">
        <v>12</v>
      </c>
      <c r="F105">
        <v>100</v>
      </c>
      <c r="G105">
        <v>40</v>
      </c>
      <c r="H105">
        <v>16</v>
      </c>
      <c r="I105" t="s">
        <v>31</v>
      </c>
      <c r="J105" t="s">
        <v>14</v>
      </c>
    </row>
    <row r="106" spans="1:10" x14ac:dyDescent="0.2">
      <c r="A106" s="2">
        <v>45089</v>
      </c>
      <c r="B106" t="s">
        <v>10</v>
      </c>
      <c r="C106" t="s">
        <v>27</v>
      </c>
      <c r="D106" t="s">
        <v>11</v>
      </c>
      <c r="E106" t="s">
        <v>16</v>
      </c>
      <c r="F106">
        <v>158</v>
      </c>
      <c r="G106">
        <v>46</v>
      </c>
      <c r="H106">
        <v>17</v>
      </c>
      <c r="I106" t="s">
        <v>31</v>
      </c>
      <c r="J106" t="s">
        <v>14</v>
      </c>
    </row>
    <row r="107" spans="1:10" x14ac:dyDescent="0.2">
      <c r="A107" s="2">
        <v>45092</v>
      </c>
      <c r="B107" t="s">
        <v>30</v>
      </c>
      <c r="C107" t="s">
        <v>29</v>
      </c>
      <c r="D107" t="s">
        <v>11</v>
      </c>
      <c r="E107" t="s">
        <v>12</v>
      </c>
      <c r="F107">
        <v>72</v>
      </c>
      <c r="G107">
        <v>65</v>
      </c>
      <c r="H107">
        <v>23</v>
      </c>
      <c r="I107" t="s">
        <v>13</v>
      </c>
      <c r="J107" t="s">
        <v>14</v>
      </c>
    </row>
    <row r="108" spans="1:10" x14ac:dyDescent="0.2">
      <c r="A108" s="2">
        <v>45095</v>
      </c>
      <c r="B108" t="s">
        <v>17</v>
      </c>
      <c r="C108" t="s">
        <v>28</v>
      </c>
      <c r="D108" t="s">
        <v>11</v>
      </c>
      <c r="E108" t="s">
        <v>12</v>
      </c>
      <c r="F108">
        <v>78</v>
      </c>
      <c r="G108">
        <v>32</v>
      </c>
      <c r="H108">
        <v>14</v>
      </c>
      <c r="I108" t="s">
        <v>13</v>
      </c>
      <c r="J108" t="s">
        <v>14</v>
      </c>
    </row>
    <row r="109" spans="1:10" x14ac:dyDescent="0.2">
      <c r="A109" s="2">
        <v>45099</v>
      </c>
      <c r="B109" t="s">
        <v>15</v>
      </c>
      <c r="C109" t="s">
        <v>27</v>
      </c>
      <c r="D109" t="s">
        <v>11</v>
      </c>
      <c r="E109" t="s">
        <v>16</v>
      </c>
      <c r="F109">
        <v>120</v>
      </c>
      <c r="G109">
        <v>46</v>
      </c>
      <c r="H109">
        <v>19</v>
      </c>
      <c r="I109" t="s">
        <v>13</v>
      </c>
      <c r="J109" t="s">
        <v>14</v>
      </c>
    </row>
    <row r="110" spans="1:10" x14ac:dyDescent="0.2">
      <c r="A110" s="2">
        <v>45102</v>
      </c>
      <c r="B110" t="s">
        <v>10</v>
      </c>
      <c r="C110" t="s">
        <v>29</v>
      </c>
      <c r="D110" t="s">
        <v>11</v>
      </c>
      <c r="E110" t="s">
        <v>12</v>
      </c>
      <c r="F110">
        <v>130</v>
      </c>
      <c r="G110">
        <v>44</v>
      </c>
      <c r="H110">
        <v>17</v>
      </c>
      <c r="I110" t="s">
        <v>13</v>
      </c>
      <c r="J110" t="s">
        <v>14</v>
      </c>
    </row>
    <row r="111" spans="1:10" x14ac:dyDescent="0.2">
      <c r="A111" s="2">
        <v>45108</v>
      </c>
      <c r="B111" t="s">
        <v>10</v>
      </c>
      <c r="C111" t="s">
        <v>27</v>
      </c>
      <c r="D111" t="s">
        <v>20</v>
      </c>
      <c r="E111" t="s">
        <v>12</v>
      </c>
      <c r="F111">
        <v>52</v>
      </c>
      <c r="G111">
        <v>38</v>
      </c>
      <c r="H111">
        <v>17</v>
      </c>
      <c r="I111" t="s">
        <v>21</v>
      </c>
      <c r="J111" t="s">
        <v>14</v>
      </c>
    </row>
    <row r="112" spans="1:10" x14ac:dyDescent="0.2">
      <c r="A112" s="2">
        <v>45112</v>
      </c>
      <c r="B112" t="s">
        <v>15</v>
      </c>
      <c r="C112" t="s">
        <v>28</v>
      </c>
      <c r="D112" t="s">
        <v>20</v>
      </c>
      <c r="E112" t="s">
        <v>16</v>
      </c>
      <c r="F112">
        <v>68</v>
      </c>
      <c r="G112">
        <v>42</v>
      </c>
      <c r="H112">
        <v>19</v>
      </c>
      <c r="I112" t="s">
        <v>21</v>
      </c>
      <c r="J112" t="s">
        <v>14</v>
      </c>
    </row>
    <row r="113" spans="1:10" x14ac:dyDescent="0.2">
      <c r="A113" s="2">
        <v>45115</v>
      </c>
      <c r="B113" t="s">
        <v>17</v>
      </c>
      <c r="C113" t="s">
        <v>29</v>
      </c>
      <c r="D113" t="s">
        <v>20</v>
      </c>
      <c r="E113" t="s">
        <v>12</v>
      </c>
      <c r="F113">
        <v>40</v>
      </c>
      <c r="G113">
        <v>28</v>
      </c>
      <c r="H113">
        <v>14</v>
      </c>
      <c r="I113" t="s">
        <v>21</v>
      </c>
      <c r="J113" t="s">
        <v>14</v>
      </c>
    </row>
    <row r="114" spans="1:10" x14ac:dyDescent="0.2">
      <c r="A114" s="2">
        <v>45119</v>
      </c>
      <c r="B114" t="s">
        <v>18</v>
      </c>
      <c r="C114" t="s">
        <v>27</v>
      </c>
      <c r="D114" t="s">
        <v>20</v>
      </c>
      <c r="E114" t="s">
        <v>16</v>
      </c>
      <c r="F114">
        <v>58</v>
      </c>
      <c r="G114">
        <v>35</v>
      </c>
      <c r="H114">
        <v>16</v>
      </c>
      <c r="I114" t="s">
        <v>22</v>
      </c>
      <c r="J114" t="s">
        <v>14</v>
      </c>
    </row>
    <row r="115" spans="1:10" x14ac:dyDescent="0.2">
      <c r="A115" s="2">
        <v>45122</v>
      </c>
      <c r="B115" t="s">
        <v>10</v>
      </c>
      <c r="C115" t="s">
        <v>28</v>
      </c>
      <c r="D115" t="s">
        <v>20</v>
      </c>
      <c r="E115" t="s">
        <v>12</v>
      </c>
      <c r="F115">
        <v>48</v>
      </c>
      <c r="G115">
        <v>36</v>
      </c>
      <c r="H115">
        <v>17</v>
      </c>
      <c r="I115" t="s">
        <v>21</v>
      </c>
      <c r="J115" t="s">
        <v>14</v>
      </c>
    </row>
    <row r="116" spans="1:10" x14ac:dyDescent="0.2">
      <c r="A116" s="2">
        <v>45125</v>
      </c>
      <c r="B116" t="s">
        <v>15</v>
      </c>
      <c r="C116" t="s">
        <v>29</v>
      </c>
      <c r="D116" t="s">
        <v>20</v>
      </c>
      <c r="E116" t="s">
        <v>12</v>
      </c>
      <c r="F116">
        <v>62</v>
      </c>
      <c r="G116">
        <v>40</v>
      </c>
      <c r="H116">
        <v>19</v>
      </c>
      <c r="I116" t="s">
        <v>22</v>
      </c>
      <c r="J116" t="s">
        <v>14</v>
      </c>
    </row>
    <row r="117" spans="1:10" x14ac:dyDescent="0.2">
      <c r="A117" s="2">
        <v>45129</v>
      </c>
      <c r="B117" t="s">
        <v>30</v>
      </c>
      <c r="C117" t="s">
        <v>27</v>
      </c>
      <c r="D117" t="s">
        <v>20</v>
      </c>
      <c r="E117" t="s">
        <v>16</v>
      </c>
      <c r="F117">
        <v>38</v>
      </c>
      <c r="G117">
        <v>56</v>
      </c>
      <c r="H117">
        <v>23</v>
      </c>
      <c r="I117" t="s">
        <v>22</v>
      </c>
      <c r="J117" t="s">
        <v>14</v>
      </c>
    </row>
    <row r="118" spans="1:10" x14ac:dyDescent="0.2">
      <c r="A118" s="2">
        <v>45132</v>
      </c>
      <c r="B118" t="s">
        <v>17</v>
      </c>
      <c r="C118" t="s">
        <v>28</v>
      </c>
      <c r="D118" t="s">
        <v>20</v>
      </c>
      <c r="E118" t="s">
        <v>12</v>
      </c>
      <c r="F118">
        <v>38</v>
      </c>
      <c r="G118">
        <v>28</v>
      </c>
      <c r="H118">
        <v>14</v>
      </c>
      <c r="I118" t="s">
        <v>21</v>
      </c>
      <c r="J118" t="s">
        <v>14</v>
      </c>
    </row>
    <row r="119" spans="1:10" x14ac:dyDescent="0.2">
      <c r="A119" s="2">
        <v>45139</v>
      </c>
      <c r="B119" t="s">
        <v>10</v>
      </c>
      <c r="C119" t="s">
        <v>27</v>
      </c>
      <c r="D119" t="s">
        <v>20</v>
      </c>
      <c r="E119" t="s">
        <v>12</v>
      </c>
      <c r="F119">
        <v>50</v>
      </c>
      <c r="G119">
        <v>36</v>
      </c>
      <c r="H119">
        <v>17</v>
      </c>
      <c r="I119" t="s">
        <v>21</v>
      </c>
      <c r="J119" t="s">
        <v>14</v>
      </c>
    </row>
    <row r="120" spans="1:10" x14ac:dyDescent="0.2">
      <c r="A120" s="2">
        <v>45143</v>
      </c>
      <c r="B120" t="s">
        <v>15</v>
      </c>
      <c r="C120" t="s">
        <v>29</v>
      </c>
      <c r="D120" t="s">
        <v>20</v>
      </c>
      <c r="E120" t="s">
        <v>16</v>
      </c>
      <c r="F120">
        <v>72</v>
      </c>
      <c r="G120">
        <v>42</v>
      </c>
      <c r="H120">
        <v>19</v>
      </c>
      <c r="I120" t="s">
        <v>22</v>
      </c>
      <c r="J120" t="s">
        <v>14</v>
      </c>
    </row>
    <row r="121" spans="1:10" x14ac:dyDescent="0.2">
      <c r="A121" s="2">
        <v>45146</v>
      </c>
      <c r="B121" t="s">
        <v>18</v>
      </c>
      <c r="C121" t="s">
        <v>28</v>
      </c>
      <c r="D121" t="s">
        <v>20</v>
      </c>
      <c r="E121" t="s">
        <v>12</v>
      </c>
      <c r="F121">
        <v>52</v>
      </c>
      <c r="G121">
        <v>33</v>
      </c>
      <c r="H121">
        <v>16</v>
      </c>
      <c r="I121" t="s">
        <v>21</v>
      </c>
      <c r="J121" t="s">
        <v>14</v>
      </c>
    </row>
    <row r="122" spans="1:10" x14ac:dyDescent="0.2">
      <c r="A122" s="2">
        <v>45153</v>
      </c>
      <c r="B122" t="s">
        <v>10</v>
      </c>
      <c r="C122" t="s">
        <v>27</v>
      </c>
      <c r="D122" t="s">
        <v>20</v>
      </c>
      <c r="E122" t="s">
        <v>16</v>
      </c>
      <c r="F122">
        <v>95</v>
      </c>
      <c r="G122">
        <v>42</v>
      </c>
      <c r="H122">
        <v>17</v>
      </c>
      <c r="I122" t="s">
        <v>22</v>
      </c>
      <c r="J122" t="s">
        <v>19</v>
      </c>
    </row>
    <row r="123" spans="1:10" x14ac:dyDescent="0.2">
      <c r="A123" s="2">
        <v>45153</v>
      </c>
      <c r="B123" t="s">
        <v>15</v>
      </c>
      <c r="C123" t="s">
        <v>28</v>
      </c>
      <c r="D123" t="s">
        <v>20</v>
      </c>
      <c r="E123" t="s">
        <v>16</v>
      </c>
      <c r="F123">
        <v>85</v>
      </c>
      <c r="G123">
        <v>46</v>
      </c>
      <c r="H123">
        <v>19</v>
      </c>
      <c r="I123" t="s">
        <v>22</v>
      </c>
      <c r="J123" t="s">
        <v>19</v>
      </c>
    </row>
    <row r="124" spans="1:10" x14ac:dyDescent="0.2">
      <c r="A124" s="2">
        <v>45153</v>
      </c>
      <c r="B124" t="s">
        <v>30</v>
      </c>
      <c r="C124" t="s">
        <v>29</v>
      </c>
      <c r="D124" t="s">
        <v>20</v>
      </c>
      <c r="E124" t="s">
        <v>16</v>
      </c>
      <c r="F124">
        <v>58</v>
      </c>
      <c r="G124">
        <v>62</v>
      </c>
      <c r="H124">
        <v>23</v>
      </c>
      <c r="I124" t="s">
        <v>22</v>
      </c>
      <c r="J124" t="s">
        <v>19</v>
      </c>
    </row>
    <row r="125" spans="1:10" x14ac:dyDescent="0.2">
      <c r="A125" s="2">
        <v>45158</v>
      </c>
      <c r="B125" t="s">
        <v>17</v>
      </c>
      <c r="C125" t="s">
        <v>27</v>
      </c>
      <c r="D125" t="s">
        <v>20</v>
      </c>
      <c r="E125" t="s">
        <v>12</v>
      </c>
      <c r="F125">
        <v>42</v>
      </c>
      <c r="G125">
        <v>28</v>
      </c>
      <c r="H125">
        <v>14</v>
      </c>
      <c r="I125" t="s">
        <v>21</v>
      </c>
      <c r="J125" t="s">
        <v>14</v>
      </c>
    </row>
    <row r="126" spans="1:10" x14ac:dyDescent="0.2">
      <c r="A126" s="2">
        <v>45163</v>
      </c>
      <c r="B126" t="s">
        <v>10</v>
      </c>
      <c r="C126" t="s">
        <v>28</v>
      </c>
      <c r="D126" t="s">
        <v>20</v>
      </c>
      <c r="E126" t="s">
        <v>12</v>
      </c>
      <c r="F126">
        <v>55</v>
      </c>
      <c r="G126">
        <v>36</v>
      </c>
      <c r="H126">
        <v>17</v>
      </c>
      <c r="I126" t="s">
        <v>22</v>
      </c>
      <c r="J126" t="s">
        <v>14</v>
      </c>
    </row>
    <row r="127" spans="1:10" x14ac:dyDescent="0.2">
      <c r="A127" s="2">
        <v>45170</v>
      </c>
      <c r="B127" t="s">
        <v>15</v>
      </c>
      <c r="C127" t="s">
        <v>29</v>
      </c>
      <c r="D127" t="s">
        <v>20</v>
      </c>
      <c r="E127" t="s">
        <v>16</v>
      </c>
      <c r="F127">
        <v>70</v>
      </c>
      <c r="G127">
        <v>42</v>
      </c>
      <c r="H127">
        <v>19</v>
      </c>
      <c r="I127" t="s">
        <v>22</v>
      </c>
      <c r="J127" t="s">
        <v>14</v>
      </c>
    </row>
    <row r="128" spans="1:10" x14ac:dyDescent="0.2">
      <c r="A128" s="2">
        <v>45177</v>
      </c>
      <c r="B128" t="s">
        <v>18</v>
      </c>
      <c r="C128" t="s">
        <v>27</v>
      </c>
      <c r="D128" t="s">
        <v>20</v>
      </c>
      <c r="E128" t="s">
        <v>12</v>
      </c>
      <c r="F128">
        <v>50</v>
      </c>
      <c r="G128">
        <v>33</v>
      </c>
      <c r="H128">
        <v>16</v>
      </c>
      <c r="I128" t="s">
        <v>22</v>
      </c>
      <c r="J128" t="s">
        <v>14</v>
      </c>
    </row>
    <row r="129" spans="1:10" x14ac:dyDescent="0.2">
      <c r="A129" s="2">
        <v>45184</v>
      </c>
      <c r="B129" t="s">
        <v>10</v>
      </c>
      <c r="C129" t="s">
        <v>28</v>
      </c>
      <c r="D129" t="s">
        <v>20</v>
      </c>
      <c r="E129" t="s">
        <v>16</v>
      </c>
      <c r="F129">
        <v>62</v>
      </c>
      <c r="G129">
        <v>36</v>
      </c>
      <c r="H129">
        <v>17</v>
      </c>
      <c r="I129" t="s">
        <v>22</v>
      </c>
      <c r="J129" t="s">
        <v>14</v>
      </c>
    </row>
    <row r="130" spans="1:10" x14ac:dyDescent="0.2">
      <c r="A130" s="2">
        <v>45191</v>
      </c>
      <c r="B130" t="s">
        <v>17</v>
      </c>
      <c r="C130" t="s">
        <v>29</v>
      </c>
      <c r="D130" t="s">
        <v>20</v>
      </c>
      <c r="E130" t="s">
        <v>12</v>
      </c>
      <c r="F130">
        <v>40</v>
      </c>
      <c r="G130">
        <v>28</v>
      </c>
      <c r="H130">
        <v>14</v>
      </c>
      <c r="I130" t="s">
        <v>22</v>
      </c>
      <c r="J130" t="s">
        <v>14</v>
      </c>
    </row>
    <row r="131" spans="1:10" x14ac:dyDescent="0.2">
      <c r="A131" s="2">
        <v>45200</v>
      </c>
      <c r="B131" t="s">
        <v>10</v>
      </c>
      <c r="C131" t="s">
        <v>27</v>
      </c>
      <c r="D131" t="s">
        <v>23</v>
      </c>
      <c r="E131" t="s">
        <v>12</v>
      </c>
      <c r="F131">
        <v>40</v>
      </c>
      <c r="G131">
        <v>33</v>
      </c>
      <c r="H131">
        <v>17</v>
      </c>
      <c r="I131" t="s">
        <v>24</v>
      </c>
      <c r="J131" t="s">
        <v>14</v>
      </c>
    </row>
    <row r="132" spans="1:10" x14ac:dyDescent="0.2">
      <c r="A132" s="2">
        <v>45204</v>
      </c>
      <c r="B132" t="s">
        <v>15</v>
      </c>
      <c r="C132" t="s">
        <v>28</v>
      </c>
      <c r="D132" t="s">
        <v>23</v>
      </c>
      <c r="E132" t="s">
        <v>16</v>
      </c>
      <c r="F132">
        <v>58</v>
      </c>
      <c r="G132">
        <v>40</v>
      </c>
      <c r="H132">
        <v>19</v>
      </c>
      <c r="I132" t="s">
        <v>24</v>
      </c>
      <c r="J132" t="s">
        <v>14</v>
      </c>
    </row>
    <row r="133" spans="1:10" x14ac:dyDescent="0.2">
      <c r="A133" s="2">
        <v>45207</v>
      </c>
      <c r="B133" t="s">
        <v>30</v>
      </c>
      <c r="C133" t="s">
        <v>29</v>
      </c>
      <c r="D133" t="s">
        <v>23</v>
      </c>
      <c r="E133" t="s">
        <v>12</v>
      </c>
      <c r="F133">
        <v>32</v>
      </c>
      <c r="G133">
        <v>54</v>
      </c>
      <c r="H133">
        <v>23</v>
      </c>
      <c r="I133" t="s">
        <v>24</v>
      </c>
      <c r="J133" t="s">
        <v>14</v>
      </c>
    </row>
    <row r="134" spans="1:10" x14ac:dyDescent="0.2">
      <c r="A134" s="2">
        <v>45211</v>
      </c>
      <c r="B134" t="s">
        <v>17</v>
      </c>
      <c r="C134" t="s">
        <v>27</v>
      </c>
      <c r="D134" t="s">
        <v>23</v>
      </c>
      <c r="E134" t="s">
        <v>12</v>
      </c>
      <c r="F134">
        <v>30</v>
      </c>
      <c r="G134">
        <v>26</v>
      </c>
      <c r="H134">
        <v>14</v>
      </c>
      <c r="I134" t="s">
        <v>24</v>
      </c>
      <c r="J134" t="s">
        <v>14</v>
      </c>
    </row>
    <row r="135" spans="1:10" x14ac:dyDescent="0.2">
      <c r="A135" s="2">
        <v>45214</v>
      </c>
      <c r="B135" t="s">
        <v>18</v>
      </c>
      <c r="C135" t="s">
        <v>28</v>
      </c>
      <c r="D135" t="s">
        <v>23</v>
      </c>
      <c r="E135" t="s">
        <v>16</v>
      </c>
      <c r="F135">
        <v>44</v>
      </c>
      <c r="G135">
        <v>32</v>
      </c>
      <c r="H135">
        <v>16</v>
      </c>
      <c r="I135" t="s">
        <v>24</v>
      </c>
      <c r="J135" t="s">
        <v>14</v>
      </c>
    </row>
    <row r="136" spans="1:10" x14ac:dyDescent="0.2">
      <c r="A136" s="2">
        <v>45219</v>
      </c>
      <c r="B136" t="s">
        <v>10</v>
      </c>
      <c r="C136" t="s">
        <v>27</v>
      </c>
      <c r="D136" t="s">
        <v>23</v>
      </c>
      <c r="E136" t="s">
        <v>16</v>
      </c>
      <c r="F136">
        <v>68</v>
      </c>
      <c r="G136">
        <v>36</v>
      </c>
      <c r="H136">
        <v>17</v>
      </c>
      <c r="I136" t="s">
        <v>24</v>
      </c>
      <c r="J136" t="s">
        <v>19</v>
      </c>
    </row>
    <row r="137" spans="1:10" x14ac:dyDescent="0.2">
      <c r="A137" s="2">
        <v>45219</v>
      </c>
      <c r="B137" t="s">
        <v>15</v>
      </c>
      <c r="C137" t="s">
        <v>29</v>
      </c>
      <c r="D137" t="s">
        <v>23</v>
      </c>
      <c r="E137" t="s">
        <v>16</v>
      </c>
      <c r="F137">
        <v>80</v>
      </c>
      <c r="G137">
        <v>44</v>
      </c>
      <c r="H137">
        <v>19</v>
      </c>
      <c r="I137" t="s">
        <v>24</v>
      </c>
      <c r="J137" t="s">
        <v>19</v>
      </c>
    </row>
    <row r="138" spans="1:10" x14ac:dyDescent="0.2">
      <c r="A138" s="2">
        <v>45224</v>
      </c>
      <c r="B138" t="s">
        <v>10</v>
      </c>
      <c r="C138" t="s">
        <v>28</v>
      </c>
      <c r="D138" t="s">
        <v>23</v>
      </c>
      <c r="E138" t="s">
        <v>12</v>
      </c>
      <c r="F138">
        <v>38</v>
      </c>
      <c r="G138">
        <v>33</v>
      </c>
      <c r="H138">
        <v>17</v>
      </c>
      <c r="I138" t="s">
        <v>24</v>
      </c>
      <c r="J138" t="s">
        <v>14</v>
      </c>
    </row>
    <row r="139" spans="1:10" x14ac:dyDescent="0.2">
      <c r="A139" s="2">
        <v>45231</v>
      </c>
      <c r="B139" t="s">
        <v>15</v>
      </c>
      <c r="C139" t="s">
        <v>27</v>
      </c>
      <c r="D139" t="s">
        <v>23</v>
      </c>
      <c r="E139" t="s">
        <v>12</v>
      </c>
      <c r="F139">
        <v>45</v>
      </c>
      <c r="G139">
        <v>40</v>
      </c>
      <c r="H139">
        <v>19</v>
      </c>
      <c r="I139" t="s">
        <v>25</v>
      </c>
      <c r="J139" t="s">
        <v>14</v>
      </c>
    </row>
    <row r="140" spans="1:10" x14ac:dyDescent="0.2">
      <c r="A140" s="2">
        <v>45235</v>
      </c>
      <c r="B140" t="s">
        <v>17</v>
      </c>
      <c r="C140" t="s">
        <v>29</v>
      </c>
      <c r="D140" t="s">
        <v>23</v>
      </c>
      <c r="E140" t="s">
        <v>12</v>
      </c>
      <c r="F140">
        <v>28</v>
      </c>
      <c r="G140">
        <v>26</v>
      </c>
      <c r="H140">
        <v>14</v>
      </c>
      <c r="I140" t="s">
        <v>25</v>
      </c>
      <c r="J140" t="s">
        <v>14</v>
      </c>
    </row>
    <row r="141" spans="1:10" x14ac:dyDescent="0.2">
      <c r="A141" s="2">
        <v>45238</v>
      </c>
      <c r="B141" t="s">
        <v>18</v>
      </c>
      <c r="C141" t="s">
        <v>28</v>
      </c>
      <c r="D141" t="s">
        <v>23</v>
      </c>
      <c r="E141" t="s">
        <v>16</v>
      </c>
      <c r="F141">
        <v>40</v>
      </c>
      <c r="G141">
        <v>30</v>
      </c>
      <c r="H141">
        <v>16</v>
      </c>
      <c r="I141" t="s">
        <v>25</v>
      </c>
      <c r="J141" t="s">
        <v>14</v>
      </c>
    </row>
    <row r="142" spans="1:10" x14ac:dyDescent="0.2">
      <c r="A142" s="2">
        <v>45242</v>
      </c>
      <c r="B142" t="s">
        <v>30</v>
      </c>
      <c r="C142" t="s">
        <v>27</v>
      </c>
      <c r="D142" t="s">
        <v>23</v>
      </c>
      <c r="E142" t="s">
        <v>12</v>
      </c>
      <c r="F142">
        <v>30</v>
      </c>
      <c r="G142">
        <v>52</v>
      </c>
      <c r="H142">
        <v>23</v>
      </c>
      <c r="I142" t="s">
        <v>25</v>
      </c>
      <c r="J142" t="s">
        <v>14</v>
      </c>
    </row>
    <row r="143" spans="1:10" x14ac:dyDescent="0.2">
      <c r="A143" s="2">
        <v>45261</v>
      </c>
      <c r="B143" t="s">
        <v>15</v>
      </c>
      <c r="C143" t="s">
        <v>28</v>
      </c>
      <c r="D143" t="s">
        <v>23</v>
      </c>
      <c r="E143" t="s">
        <v>12</v>
      </c>
      <c r="F143">
        <v>42</v>
      </c>
      <c r="G143">
        <v>40</v>
      </c>
      <c r="H143">
        <v>19</v>
      </c>
      <c r="I143" t="s">
        <v>25</v>
      </c>
      <c r="J143" t="s">
        <v>14</v>
      </c>
    </row>
    <row r="144" spans="1:10" x14ac:dyDescent="0.2">
      <c r="A144" s="2">
        <v>45270</v>
      </c>
      <c r="B144" t="s">
        <v>17</v>
      </c>
      <c r="C144" t="s">
        <v>29</v>
      </c>
      <c r="D144" t="s">
        <v>23</v>
      </c>
      <c r="E144" t="s">
        <v>12</v>
      </c>
      <c r="F144">
        <v>24</v>
      </c>
      <c r="G144">
        <v>26</v>
      </c>
      <c r="H144">
        <v>14</v>
      </c>
      <c r="I144" t="s">
        <v>25</v>
      </c>
      <c r="J144" t="s">
        <v>14</v>
      </c>
    </row>
    <row r="145" spans="1:10" x14ac:dyDescent="0.2">
      <c r="A145" s="2">
        <v>45275</v>
      </c>
      <c r="B145" t="s">
        <v>10</v>
      </c>
      <c r="C145" t="s">
        <v>27</v>
      </c>
      <c r="D145" t="s">
        <v>23</v>
      </c>
      <c r="E145" t="s">
        <v>16</v>
      </c>
      <c r="F145">
        <v>35</v>
      </c>
      <c r="G145">
        <v>33</v>
      </c>
      <c r="H145">
        <v>17</v>
      </c>
      <c r="I145" t="s">
        <v>25</v>
      </c>
      <c r="J145" t="s">
        <v>14</v>
      </c>
    </row>
    <row r="146" spans="1:10" x14ac:dyDescent="0.2">
      <c r="A146" s="2">
        <v>45285</v>
      </c>
      <c r="B146" t="s">
        <v>15</v>
      </c>
      <c r="C146" t="s">
        <v>27</v>
      </c>
      <c r="D146" t="s">
        <v>23</v>
      </c>
      <c r="E146" t="s">
        <v>16</v>
      </c>
      <c r="F146">
        <v>92</v>
      </c>
      <c r="G146">
        <v>46</v>
      </c>
      <c r="H146">
        <v>19</v>
      </c>
      <c r="I146" t="s">
        <v>25</v>
      </c>
      <c r="J146" t="s">
        <v>19</v>
      </c>
    </row>
    <row r="147" spans="1:10" x14ac:dyDescent="0.2">
      <c r="A147" s="2">
        <v>45285</v>
      </c>
      <c r="B147" t="s">
        <v>18</v>
      </c>
      <c r="C147" t="s">
        <v>28</v>
      </c>
      <c r="D147" t="s">
        <v>23</v>
      </c>
      <c r="E147" t="s">
        <v>16</v>
      </c>
      <c r="F147">
        <v>68</v>
      </c>
      <c r="G147">
        <v>40</v>
      </c>
      <c r="H147">
        <v>16</v>
      </c>
      <c r="I147" t="s">
        <v>25</v>
      </c>
      <c r="J147" t="s">
        <v>19</v>
      </c>
    </row>
    <row r="148" spans="1:10" x14ac:dyDescent="0.2">
      <c r="A148" s="2">
        <v>45285</v>
      </c>
      <c r="B148" t="s">
        <v>30</v>
      </c>
      <c r="C148" t="s">
        <v>29</v>
      </c>
      <c r="D148" t="s">
        <v>23</v>
      </c>
      <c r="E148" t="s">
        <v>16</v>
      </c>
      <c r="F148">
        <v>52</v>
      </c>
      <c r="G148">
        <v>60</v>
      </c>
      <c r="H148">
        <v>23</v>
      </c>
      <c r="I148" t="s">
        <v>25</v>
      </c>
      <c r="J148" t="s">
        <v>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12E3C-5B99-A441-951B-D4D956E67208}">
  <sheetPr codeName="Sheet10"/>
  <dimension ref="A1:F45"/>
  <sheetViews>
    <sheetView topLeftCell="A22" workbookViewId="0">
      <selection activeCell="G14" sqref="G14"/>
    </sheetView>
  </sheetViews>
  <sheetFormatPr baseColWidth="10" defaultColWidth="22.1640625" defaultRowHeight="16" x14ac:dyDescent="0.2"/>
  <cols>
    <col min="4" max="6" width="22.1640625" style="4"/>
  </cols>
  <sheetData>
    <row r="1" spans="1:6" ht="17" x14ac:dyDescent="0.2">
      <c r="A1" s="111" t="s">
        <v>90</v>
      </c>
      <c r="B1" s="111"/>
      <c r="C1" s="111"/>
      <c r="D1" s="111"/>
      <c r="E1" s="111"/>
      <c r="F1" s="111"/>
    </row>
    <row r="2" spans="1:6" x14ac:dyDescent="0.2">
      <c r="A2" s="12" t="s">
        <v>33</v>
      </c>
      <c r="B2" s="12" t="s">
        <v>34</v>
      </c>
      <c r="C2" s="12" t="s">
        <v>1</v>
      </c>
      <c r="D2" s="12" t="s">
        <v>91</v>
      </c>
      <c r="E2" s="12" t="s">
        <v>92</v>
      </c>
      <c r="F2" s="12" t="s">
        <v>93</v>
      </c>
    </row>
    <row r="3" spans="1:6" x14ac:dyDescent="0.2">
      <c r="A3" s="13" t="s">
        <v>35</v>
      </c>
      <c r="B3" s="13" t="s">
        <v>94</v>
      </c>
      <c r="C3" s="13" t="s">
        <v>17</v>
      </c>
      <c r="D3" s="14">
        <v>20</v>
      </c>
      <c r="E3" s="14">
        <v>60</v>
      </c>
      <c r="F3" s="14">
        <v>40</v>
      </c>
    </row>
    <row r="4" spans="1:6" x14ac:dyDescent="0.2">
      <c r="A4" s="13" t="s">
        <v>35</v>
      </c>
      <c r="B4" s="13" t="s">
        <v>94</v>
      </c>
      <c r="C4" s="13" t="s">
        <v>15</v>
      </c>
      <c r="D4" s="14">
        <v>20</v>
      </c>
      <c r="E4" s="14">
        <v>70</v>
      </c>
      <c r="F4" s="14">
        <v>45</v>
      </c>
    </row>
    <row r="5" spans="1:6" x14ac:dyDescent="0.2">
      <c r="A5" s="13" t="s">
        <v>35</v>
      </c>
      <c r="B5" s="13" t="s">
        <v>94</v>
      </c>
      <c r="C5" s="13" t="s">
        <v>10</v>
      </c>
      <c r="D5" s="14">
        <v>20</v>
      </c>
      <c r="E5" s="14">
        <v>80</v>
      </c>
      <c r="F5" s="14">
        <v>50</v>
      </c>
    </row>
    <row r="6" spans="1:6" x14ac:dyDescent="0.2">
      <c r="A6" s="13" t="s">
        <v>35</v>
      </c>
      <c r="B6" s="13" t="s">
        <v>94</v>
      </c>
      <c r="C6" s="13" t="s">
        <v>18</v>
      </c>
      <c r="D6" s="14">
        <v>20</v>
      </c>
      <c r="E6" s="14">
        <v>60</v>
      </c>
      <c r="F6" s="14">
        <v>40</v>
      </c>
    </row>
    <row r="7" spans="1:6" x14ac:dyDescent="0.2">
      <c r="A7" s="13" t="s">
        <v>35</v>
      </c>
      <c r="B7" s="13" t="s">
        <v>94</v>
      </c>
      <c r="C7" s="13" t="s">
        <v>30</v>
      </c>
      <c r="D7" s="14">
        <v>30</v>
      </c>
      <c r="E7" s="14">
        <v>90</v>
      </c>
      <c r="F7" s="14">
        <v>60</v>
      </c>
    </row>
    <row r="8" spans="1:6" x14ac:dyDescent="0.2">
      <c r="A8" s="13" t="s">
        <v>36</v>
      </c>
      <c r="B8" s="13" t="s">
        <v>94</v>
      </c>
      <c r="C8" s="13" t="s">
        <v>17</v>
      </c>
      <c r="D8" s="14">
        <v>30</v>
      </c>
      <c r="E8" s="14">
        <v>120</v>
      </c>
      <c r="F8" s="14">
        <v>75</v>
      </c>
    </row>
    <row r="9" spans="1:6" x14ac:dyDescent="0.2">
      <c r="A9" s="13" t="s">
        <v>36</v>
      </c>
      <c r="B9" s="13" t="s">
        <v>94</v>
      </c>
      <c r="C9" s="13" t="s">
        <v>15</v>
      </c>
      <c r="D9" s="14">
        <v>35</v>
      </c>
      <c r="E9" s="14">
        <v>140</v>
      </c>
      <c r="F9" s="14">
        <v>88</v>
      </c>
    </row>
    <row r="10" spans="1:6" x14ac:dyDescent="0.2">
      <c r="A10" s="13" t="s">
        <v>36</v>
      </c>
      <c r="B10" s="13" t="s">
        <v>94</v>
      </c>
      <c r="C10" s="13" t="s">
        <v>10</v>
      </c>
      <c r="D10" s="14">
        <v>40</v>
      </c>
      <c r="E10" s="14">
        <v>150</v>
      </c>
      <c r="F10" s="14">
        <v>95</v>
      </c>
    </row>
    <row r="11" spans="1:6" x14ac:dyDescent="0.2">
      <c r="A11" s="13" t="s">
        <v>36</v>
      </c>
      <c r="B11" s="13" t="s">
        <v>94</v>
      </c>
      <c r="C11" s="13" t="s">
        <v>18</v>
      </c>
      <c r="D11" s="14">
        <v>35</v>
      </c>
      <c r="E11" s="14">
        <v>130</v>
      </c>
      <c r="F11" s="14">
        <v>83</v>
      </c>
    </row>
    <row r="12" spans="1:6" x14ac:dyDescent="0.2">
      <c r="A12" s="13" t="s">
        <v>37</v>
      </c>
      <c r="B12" s="13" t="s">
        <v>94</v>
      </c>
      <c r="C12" s="13" t="s">
        <v>10</v>
      </c>
      <c r="D12" s="14">
        <v>40</v>
      </c>
      <c r="E12" s="14">
        <v>160</v>
      </c>
      <c r="F12" s="14">
        <v>100</v>
      </c>
    </row>
    <row r="13" spans="1:6" x14ac:dyDescent="0.2">
      <c r="A13" s="13" t="s">
        <v>37</v>
      </c>
      <c r="B13" s="13" t="s">
        <v>94</v>
      </c>
      <c r="C13" s="13" t="s">
        <v>30</v>
      </c>
      <c r="D13" s="14">
        <v>50</v>
      </c>
      <c r="E13" s="14">
        <v>180</v>
      </c>
      <c r="F13" s="14">
        <v>115</v>
      </c>
    </row>
    <row r="14" spans="1:6" x14ac:dyDescent="0.2">
      <c r="A14" s="13" t="s">
        <v>37</v>
      </c>
      <c r="B14" s="13" t="s">
        <v>94</v>
      </c>
      <c r="C14" s="13" t="s">
        <v>15</v>
      </c>
      <c r="D14" s="14">
        <v>40</v>
      </c>
      <c r="E14" s="14">
        <v>150</v>
      </c>
      <c r="F14" s="14">
        <v>95</v>
      </c>
    </row>
    <row r="15" spans="1:6" x14ac:dyDescent="0.2">
      <c r="A15" s="13" t="s">
        <v>37</v>
      </c>
      <c r="B15" s="13" t="s">
        <v>94</v>
      </c>
      <c r="C15" s="13" t="s">
        <v>17</v>
      </c>
      <c r="D15" s="14">
        <v>35</v>
      </c>
      <c r="E15" s="14">
        <v>130</v>
      </c>
      <c r="F15" s="14">
        <v>83</v>
      </c>
    </row>
    <row r="16" spans="1:6" x14ac:dyDescent="0.2">
      <c r="A16" s="15" t="s">
        <v>109</v>
      </c>
      <c r="B16" s="15" t="s">
        <v>95</v>
      </c>
      <c r="C16" s="15" t="s">
        <v>17</v>
      </c>
      <c r="D16" s="16">
        <v>25</v>
      </c>
      <c r="E16" s="16">
        <v>35</v>
      </c>
      <c r="F16" s="16">
        <v>30</v>
      </c>
    </row>
    <row r="17" spans="1:6" x14ac:dyDescent="0.2">
      <c r="A17" s="15" t="s">
        <v>109</v>
      </c>
      <c r="B17" s="15" t="s">
        <v>95</v>
      </c>
      <c r="C17" s="15" t="s">
        <v>15</v>
      </c>
      <c r="D17" s="16">
        <v>35</v>
      </c>
      <c r="E17" s="16">
        <v>45</v>
      </c>
      <c r="F17" s="16">
        <v>40</v>
      </c>
    </row>
    <row r="18" spans="1:6" x14ac:dyDescent="0.2">
      <c r="A18" s="15" t="s">
        <v>109</v>
      </c>
      <c r="B18" s="15" t="s">
        <v>95</v>
      </c>
      <c r="C18" s="15" t="s">
        <v>10</v>
      </c>
      <c r="D18" s="16">
        <v>33</v>
      </c>
      <c r="E18" s="16">
        <v>45</v>
      </c>
      <c r="F18" s="16">
        <v>38</v>
      </c>
    </row>
    <row r="19" spans="1:6" x14ac:dyDescent="0.2">
      <c r="A19" s="15" t="s">
        <v>109</v>
      </c>
      <c r="B19" s="15" t="s">
        <v>95</v>
      </c>
      <c r="C19" s="15" t="s">
        <v>18</v>
      </c>
      <c r="D19" s="16">
        <v>28</v>
      </c>
      <c r="E19" s="16">
        <v>40</v>
      </c>
      <c r="F19" s="16">
        <v>34</v>
      </c>
    </row>
    <row r="20" spans="1:6" x14ac:dyDescent="0.2">
      <c r="A20" s="15" t="s">
        <v>109</v>
      </c>
      <c r="B20" s="15" t="s">
        <v>95</v>
      </c>
      <c r="C20" s="15" t="s">
        <v>30</v>
      </c>
      <c r="D20" s="16">
        <v>48</v>
      </c>
      <c r="E20" s="16">
        <v>62</v>
      </c>
      <c r="F20" s="16">
        <v>55</v>
      </c>
    </row>
    <row r="21" spans="1:6" x14ac:dyDescent="0.2">
      <c r="A21" s="17" t="s">
        <v>40</v>
      </c>
      <c r="B21" s="17" t="s">
        <v>95</v>
      </c>
      <c r="C21" s="17" t="s">
        <v>17</v>
      </c>
      <c r="D21" s="18">
        <v>26</v>
      </c>
      <c r="E21" s="18">
        <v>32</v>
      </c>
      <c r="F21" s="18">
        <v>28</v>
      </c>
    </row>
    <row r="22" spans="1:6" x14ac:dyDescent="0.2">
      <c r="A22" s="17" t="s">
        <v>40</v>
      </c>
      <c r="B22" s="17" t="s">
        <v>95</v>
      </c>
      <c r="C22" s="17" t="s">
        <v>15</v>
      </c>
      <c r="D22" s="18">
        <v>38</v>
      </c>
      <c r="E22" s="18">
        <v>46</v>
      </c>
      <c r="F22" s="18">
        <v>42</v>
      </c>
    </row>
    <row r="23" spans="1:6" x14ac:dyDescent="0.2">
      <c r="A23" s="17" t="s">
        <v>40</v>
      </c>
      <c r="B23" s="17" t="s">
        <v>95</v>
      </c>
      <c r="C23" s="17" t="s">
        <v>10</v>
      </c>
      <c r="D23" s="18">
        <v>35</v>
      </c>
      <c r="E23" s="18">
        <v>46</v>
      </c>
      <c r="F23" s="18">
        <v>37</v>
      </c>
    </row>
    <row r="24" spans="1:6" x14ac:dyDescent="0.2">
      <c r="A24" s="17" t="s">
        <v>40</v>
      </c>
      <c r="B24" s="17" t="s">
        <v>95</v>
      </c>
      <c r="C24" s="17" t="s">
        <v>18</v>
      </c>
      <c r="D24" s="18">
        <v>28</v>
      </c>
      <c r="E24" s="18">
        <v>40</v>
      </c>
      <c r="F24" s="18">
        <v>35</v>
      </c>
    </row>
    <row r="25" spans="1:6" x14ac:dyDescent="0.2">
      <c r="A25" s="17" t="s">
        <v>40</v>
      </c>
      <c r="B25" s="17" t="s">
        <v>95</v>
      </c>
      <c r="C25" s="17" t="s">
        <v>30</v>
      </c>
      <c r="D25" s="18">
        <v>50</v>
      </c>
      <c r="E25" s="18">
        <v>65</v>
      </c>
      <c r="F25" s="18">
        <v>58</v>
      </c>
    </row>
    <row r="26" spans="1:6" x14ac:dyDescent="0.2">
      <c r="A26" s="19" t="s">
        <v>96</v>
      </c>
      <c r="B26" s="19" t="s">
        <v>97</v>
      </c>
      <c r="C26" s="19" t="s">
        <v>17</v>
      </c>
      <c r="D26" s="20">
        <v>30</v>
      </c>
      <c r="E26" s="20">
        <v>40</v>
      </c>
      <c r="F26" s="20">
        <v>35</v>
      </c>
    </row>
    <row r="27" spans="1:6" x14ac:dyDescent="0.2">
      <c r="A27" s="19" t="s">
        <v>96</v>
      </c>
      <c r="B27" s="19" t="s">
        <v>97</v>
      </c>
      <c r="C27" s="19" t="s">
        <v>15</v>
      </c>
      <c r="D27" s="20">
        <v>40</v>
      </c>
      <c r="E27" s="20">
        <v>55</v>
      </c>
      <c r="F27" s="20">
        <v>47</v>
      </c>
    </row>
    <row r="28" spans="1:6" x14ac:dyDescent="0.2">
      <c r="A28" s="19" t="s">
        <v>96</v>
      </c>
      <c r="B28" s="19" t="s">
        <v>97</v>
      </c>
      <c r="C28" s="19" t="s">
        <v>10</v>
      </c>
      <c r="D28" s="20">
        <v>40</v>
      </c>
      <c r="E28" s="20">
        <v>55</v>
      </c>
      <c r="F28" s="20">
        <v>47</v>
      </c>
    </row>
    <row r="29" spans="1:6" x14ac:dyDescent="0.2">
      <c r="A29" s="19" t="s">
        <v>96</v>
      </c>
      <c r="B29" s="19" t="s">
        <v>97</v>
      </c>
      <c r="C29" s="19" t="s">
        <v>18</v>
      </c>
      <c r="D29" s="20">
        <v>35</v>
      </c>
      <c r="E29" s="20">
        <v>50</v>
      </c>
      <c r="F29" s="20">
        <v>42</v>
      </c>
    </row>
    <row r="30" spans="1:6" x14ac:dyDescent="0.2">
      <c r="A30" s="19" t="s">
        <v>96</v>
      </c>
      <c r="B30" s="19" t="s">
        <v>97</v>
      </c>
      <c r="C30" s="19" t="s">
        <v>30</v>
      </c>
      <c r="D30" s="20">
        <v>55</v>
      </c>
      <c r="E30" s="20">
        <v>75</v>
      </c>
      <c r="F30" s="20">
        <v>65</v>
      </c>
    </row>
    <row r="31" spans="1:6" x14ac:dyDescent="0.2">
      <c r="A31" s="19" t="s">
        <v>38</v>
      </c>
      <c r="B31" s="19" t="s">
        <v>97</v>
      </c>
      <c r="C31" s="19" t="s">
        <v>10</v>
      </c>
      <c r="D31" s="20">
        <v>200</v>
      </c>
      <c r="E31" s="20">
        <v>350</v>
      </c>
      <c r="F31" s="20">
        <v>275</v>
      </c>
    </row>
    <row r="32" spans="1:6" x14ac:dyDescent="0.2">
      <c r="A32" s="19" t="s">
        <v>38</v>
      </c>
      <c r="B32" s="19" t="s">
        <v>97</v>
      </c>
      <c r="C32" s="19" t="s">
        <v>18</v>
      </c>
      <c r="D32" s="20">
        <v>180</v>
      </c>
      <c r="E32" s="20">
        <v>320</v>
      </c>
      <c r="F32" s="20">
        <v>250</v>
      </c>
    </row>
    <row r="33" spans="1:6" x14ac:dyDescent="0.2">
      <c r="A33" s="19" t="s">
        <v>38</v>
      </c>
      <c r="B33" s="19" t="s">
        <v>97</v>
      </c>
      <c r="C33" s="19" t="s">
        <v>17</v>
      </c>
      <c r="D33" s="20">
        <v>180</v>
      </c>
      <c r="E33" s="20">
        <v>300</v>
      </c>
      <c r="F33" s="20">
        <v>240</v>
      </c>
    </row>
    <row r="34" spans="1:6" x14ac:dyDescent="0.2">
      <c r="A34" s="19" t="s">
        <v>38</v>
      </c>
      <c r="B34" s="19" t="s">
        <v>97</v>
      </c>
      <c r="C34" s="19" t="s">
        <v>30</v>
      </c>
      <c r="D34" s="20">
        <v>220</v>
      </c>
      <c r="E34" s="20">
        <v>400</v>
      </c>
      <c r="F34" s="20">
        <v>310</v>
      </c>
    </row>
    <row r="35" spans="1:6" x14ac:dyDescent="0.2">
      <c r="A35" s="21" t="s">
        <v>39</v>
      </c>
      <c r="B35" s="21" t="s">
        <v>98</v>
      </c>
      <c r="C35" s="21" t="s">
        <v>15</v>
      </c>
      <c r="D35" s="22">
        <v>150</v>
      </c>
      <c r="E35" s="22">
        <v>600</v>
      </c>
      <c r="F35" s="22">
        <v>375</v>
      </c>
    </row>
    <row r="36" spans="1:6" x14ac:dyDescent="0.2">
      <c r="A36" s="21" t="s">
        <v>39</v>
      </c>
      <c r="B36" s="21" t="s">
        <v>98</v>
      </c>
      <c r="C36" s="21" t="s">
        <v>17</v>
      </c>
      <c r="D36" s="22">
        <v>120</v>
      </c>
      <c r="E36" s="22">
        <v>500</v>
      </c>
      <c r="F36" s="22">
        <v>310</v>
      </c>
    </row>
    <row r="37" spans="1:6" x14ac:dyDescent="0.2">
      <c r="A37" s="21" t="s">
        <v>39</v>
      </c>
      <c r="B37" s="21" t="s">
        <v>98</v>
      </c>
      <c r="C37" s="21" t="s">
        <v>18</v>
      </c>
      <c r="D37" s="22">
        <v>130</v>
      </c>
      <c r="E37" s="22">
        <v>550</v>
      </c>
      <c r="F37" s="22">
        <v>340</v>
      </c>
    </row>
    <row r="38" spans="1:6" x14ac:dyDescent="0.2">
      <c r="A38" s="21" t="s">
        <v>39</v>
      </c>
      <c r="B38" s="21" t="s">
        <v>98</v>
      </c>
      <c r="C38" s="21" t="s">
        <v>10</v>
      </c>
      <c r="D38" s="22">
        <v>140</v>
      </c>
      <c r="E38" s="22">
        <v>520</v>
      </c>
      <c r="F38" s="22">
        <v>330</v>
      </c>
    </row>
    <row r="41" spans="1:6" x14ac:dyDescent="0.2">
      <c r="A41" s="23" t="s">
        <v>99</v>
      </c>
    </row>
    <row r="42" spans="1:6" x14ac:dyDescent="0.2">
      <c r="A42" s="24" t="s">
        <v>94</v>
      </c>
      <c r="B42" s="25" t="s">
        <v>100</v>
      </c>
    </row>
    <row r="43" spans="1:6" x14ac:dyDescent="0.2">
      <c r="A43" s="26" t="s">
        <v>95</v>
      </c>
    </row>
    <row r="44" spans="1:6" x14ac:dyDescent="0.2">
      <c r="A44" s="27" t="s">
        <v>97</v>
      </c>
    </row>
    <row r="45" spans="1:6" x14ac:dyDescent="0.2">
      <c r="A45" s="28" t="s">
        <v>98</v>
      </c>
    </row>
  </sheetData>
  <mergeCells count="1">
    <mergeCell ref="A1:F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19473-8994-6D4C-9884-4382411EB6DB}">
  <sheetPr codeName="Sheet11"/>
  <dimension ref="A1:D18"/>
  <sheetViews>
    <sheetView workbookViewId="0">
      <selection activeCell="B17" sqref="B17"/>
    </sheetView>
  </sheetViews>
  <sheetFormatPr baseColWidth="10" defaultRowHeight="16" x14ac:dyDescent="0.2"/>
  <cols>
    <col min="1" max="1" width="19.1640625" bestFit="1" customWidth="1"/>
    <col min="2" max="2" width="43.5" bestFit="1" customWidth="1"/>
    <col min="3" max="3" width="11" bestFit="1" customWidth="1"/>
    <col min="4" max="4" width="14.83203125" bestFit="1" customWidth="1"/>
  </cols>
  <sheetData>
    <row r="1" spans="1:4" x14ac:dyDescent="0.2">
      <c r="A1" s="1" t="s">
        <v>43</v>
      </c>
      <c r="B1" s="1" t="s">
        <v>44</v>
      </c>
      <c r="C1" s="1" t="s">
        <v>45</v>
      </c>
      <c r="D1" s="1" t="s">
        <v>46</v>
      </c>
    </row>
    <row r="2" spans="1:4" x14ac:dyDescent="0.2">
      <c r="A2" t="s">
        <v>43</v>
      </c>
      <c r="B2" t="s">
        <v>44</v>
      </c>
      <c r="C2" t="s">
        <v>45</v>
      </c>
      <c r="D2" t="s">
        <v>46</v>
      </c>
    </row>
    <row r="3" spans="1:4" x14ac:dyDescent="0.2">
      <c r="A3">
        <v>1</v>
      </c>
      <c r="B3" t="s">
        <v>47</v>
      </c>
      <c r="C3" t="s">
        <v>1</v>
      </c>
      <c r="D3" t="s">
        <v>48</v>
      </c>
    </row>
    <row r="4" spans="1:4" x14ac:dyDescent="0.2">
      <c r="A4">
        <v>2</v>
      </c>
      <c r="B4" t="s">
        <v>47</v>
      </c>
      <c r="C4" t="s">
        <v>2</v>
      </c>
      <c r="D4" t="s">
        <v>48</v>
      </c>
    </row>
    <row r="5" spans="1:4" x14ac:dyDescent="0.2">
      <c r="A5">
        <v>3</v>
      </c>
      <c r="B5" t="s">
        <v>47</v>
      </c>
      <c r="C5" t="s">
        <v>3</v>
      </c>
      <c r="D5" t="s">
        <v>48</v>
      </c>
    </row>
    <row r="6" spans="1:4" x14ac:dyDescent="0.2">
      <c r="A6">
        <v>4</v>
      </c>
      <c r="B6" t="s">
        <v>47</v>
      </c>
      <c r="C6" t="s">
        <v>9</v>
      </c>
      <c r="D6" t="s">
        <v>48</v>
      </c>
    </row>
    <row r="10" spans="1:4" x14ac:dyDescent="0.2">
      <c r="A10" s="1" t="s">
        <v>49</v>
      </c>
      <c r="B10" s="1" t="s">
        <v>50</v>
      </c>
    </row>
    <row r="11" spans="1:4" x14ac:dyDescent="0.2">
      <c r="A11" t="s">
        <v>51</v>
      </c>
      <c r="B11" t="s">
        <v>57</v>
      </c>
    </row>
    <row r="12" spans="1:4" x14ac:dyDescent="0.2">
      <c r="A12" t="s">
        <v>52</v>
      </c>
      <c r="B12" t="s">
        <v>57</v>
      </c>
    </row>
    <row r="13" spans="1:4" x14ac:dyDescent="0.2">
      <c r="A13" t="s">
        <v>53</v>
      </c>
      <c r="B13" t="s">
        <v>54</v>
      </c>
    </row>
    <row r="14" spans="1:4" x14ac:dyDescent="0.2">
      <c r="A14" t="s">
        <v>55</v>
      </c>
      <c r="B14" t="s">
        <v>56</v>
      </c>
    </row>
    <row r="15" spans="1:4" x14ac:dyDescent="0.2">
      <c r="A15" t="s">
        <v>61</v>
      </c>
      <c r="B15" t="s">
        <v>57</v>
      </c>
    </row>
    <row r="16" spans="1:4" x14ac:dyDescent="0.2">
      <c r="A16" s="1" t="s">
        <v>43</v>
      </c>
      <c r="B16" s="1" t="s">
        <v>44</v>
      </c>
      <c r="C16" s="1" t="s">
        <v>45</v>
      </c>
      <c r="D16" s="1" t="s">
        <v>46</v>
      </c>
    </row>
    <row r="17" spans="1:4" x14ac:dyDescent="0.2">
      <c r="A17">
        <v>9</v>
      </c>
      <c r="B17" t="s">
        <v>58</v>
      </c>
      <c r="C17" t="s">
        <v>59</v>
      </c>
      <c r="D17" t="s">
        <v>60</v>
      </c>
    </row>
    <row r="18" spans="1:4" x14ac:dyDescent="0.2">
      <c r="A18">
        <v>10</v>
      </c>
      <c r="B18" t="s">
        <v>58</v>
      </c>
      <c r="C18" t="s">
        <v>59</v>
      </c>
      <c r="D18" t="s">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DASHBOARD</vt:lpstr>
      <vt:lpstr>Season Pricing Dynamics</vt:lpstr>
      <vt:lpstr>1) Pivot_DemandAnalysis</vt:lpstr>
      <vt:lpstr>2) Cost Structure</vt:lpstr>
      <vt:lpstr>3) Pricing_Strategy</vt:lpstr>
      <vt:lpstr>4)Demand Forecasting</vt:lpstr>
      <vt:lpstr>5) Profit Loss</vt:lpstr>
      <vt:lpstr>Cleaned_Data</vt:lpstr>
      <vt:lpstr>Raw_Data</vt:lpstr>
      <vt:lpstr>Competitor_Benchmark_Data</vt:lpstr>
      <vt:lpstr>Cleaning_Log</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Adyant Bhriguvanshi</dc:creator>
  <cp:lastModifiedBy>Adyant Bhriguvanshi</cp:lastModifiedBy>
  <dcterms:created xsi:type="dcterms:W3CDTF">2026-03-13T11:33:58Z</dcterms:created>
  <dcterms:modified xsi:type="dcterms:W3CDTF">2026-03-20T15:11:40Z</dcterms:modified>
</cp:coreProperties>
</file>